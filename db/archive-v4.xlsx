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 Archive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<sst xmlns="http://schemas.openxmlformats.org/spreadsheetml/2006/main" count="290" uniqueCount="133">
  <si>
    <t xml:space="preserve">THE BENCH  —  ARCHIVE TRACKER  (v4 · v17 spec)</t>
  </si>
  <si>
    <t xml:space="preserve">Trade ID</t>
  </si>
  <si>
    <t xml:space="preserve">Date</t>
  </si>
  <si>
    <t xml:space="preserve">Ticker</t>
  </si>
  <si>
    <t xml:space="preserve">Review Price ($)</t>
  </si>
  <si>
    <t xml:space="preserve">Review Time</t>
  </si>
  <si>
    <t xml:space="preserve">Opportunity Score</t>
  </si>
  <si>
    <t xml:space="preserve">Confidence %</t>
  </si>
  <si>
    <t xml:space="preserve">Technical</t>
  </si>
  <si>
    <t xml:space="preserve">Fundamental</t>
  </si>
  <si>
    <t xml:space="preserve">Execution</t>
  </si>
  <si>
    <t xml:space="preserve">Overall</t>
  </si>
  <si>
    <t xml:space="preserve">FOMO Clock</t>
  </si>
  <si>
    <t xml:space="preserve">Market Risk</t>
  </si>
  <si>
    <t xml:space="preserve">HODL Status</t>
  </si>
  <si>
    <t xml:space="preserve">Final Call / Trigger</t>
  </si>
  <si>
    <t xml:space="preserve">Engine</t>
  </si>
  <si>
    <t xml:space="preserve">Outcome</t>
  </si>
  <si>
    <t xml:space="preserve">Outcome Price ($)</t>
  </si>
  <si>
    <t xml:space="preserve">% Move</t>
  </si>
  <si>
    <t xml:space="preserve">Lessons Learned</t>
  </si>
  <si>
    <t xml:space="preserve">B-001</t>
  </si>
  <si>
    <t xml:space="preserve">MSFT</t>
  </si>
  <si>
    <t xml:space="preserve">Jun 30 close</t>
  </si>
  <si>
    <t xml:space="preserve">D</t>
  </si>
  <si>
    <t xml:space="preserve">A</t>
  </si>
  <si>
    <t xml:space="preserve">Post-FOMO Fade</t>
  </si>
  <si>
    <t xml:space="preserve">Accumulate</t>
  </si>
  <si>
    <t xml:space="preserve">Accumulate — kids' UTMA</t>
  </si>
  <si>
    <t xml:space="preserve">claude</t>
  </si>
  <si>
    <t xml:space="preserve">B-002</t>
  </si>
  <si>
    <t xml:space="preserve">XLM</t>
  </si>
  <si>
    <t xml:space="preserve">B-</t>
  </si>
  <si>
    <t xml:space="preserve">Trade-only — not a hold</t>
  </si>
  <si>
    <t xml:space="preserve">No Trade — no value capture</t>
  </si>
  <si>
    <t xml:space="preserve">B-003</t>
  </si>
  <si>
    <t xml:space="preserve">OUST</t>
  </si>
  <si>
    <t xml:space="preserve">B</t>
  </si>
  <si>
    <t xml:space="preserve">C</t>
  </si>
  <si>
    <t xml:space="preserve">Late FOMO</t>
  </si>
  <si>
    <t xml:space="preserve">No Trade — Aug 6 earnings revisit</t>
  </si>
  <si>
    <t xml:space="preserve">B-004</t>
  </si>
  <si>
    <t xml:space="preserve">MU</t>
  </si>
  <si>
    <t xml:space="preserve">B+</t>
  </si>
  <si>
    <t xml:space="preserve">Heating Up</t>
  </si>
  <si>
    <t xml:space="preserve">Entered — stop $1,020</t>
  </si>
  <si>
    <t xml:space="preserve">Loss</t>
  </si>
  <si>
    <t xml:space="preserve">A level needing 3 tests in a week was weakening, not strengthening. Stop capped the loss at the pre-defined number while the stock fell further.</t>
  </si>
  <si>
    <t xml:space="preserve">B-005</t>
  </si>
  <si>
    <t xml:space="preserve">XOM</t>
  </si>
  <si>
    <t xml:space="preserve">Jul 2 close</t>
  </si>
  <si>
    <t xml:space="preserve">C-</t>
  </si>
  <si>
    <t xml:space="preserve">A-</t>
  </si>
  <si>
    <t xml:space="preserve">Hold-quality — wait for value</t>
  </si>
  <si>
    <t xml:space="preserve">Hedge — active, delta overdue</t>
  </si>
  <si>
    <t xml:space="preserve">B-006</t>
  </si>
  <si>
    <t xml:space="preserve">CVX</t>
  </si>
  <si>
    <t xml:space="preserve">B-007</t>
  </si>
  <si>
    <t xml:space="preserve">COP</t>
  </si>
  <si>
    <t xml:space="preserve">B-008</t>
  </si>
  <si>
    <t xml:space="preserve">OXY</t>
  </si>
  <si>
    <t xml:space="preserve">B-009</t>
  </si>
  <si>
    <t xml:space="preserve">LMT</t>
  </si>
  <si>
    <t xml:space="preserve">C+</t>
  </si>
  <si>
    <t xml:space="preserve">Watchlist — trigger: reclaim $540</t>
  </si>
  <si>
    <t xml:space="preserve">B-010</t>
  </si>
  <si>
    <t xml:space="preserve">F</t>
  </si>
  <si>
    <t xml:space="preserve">No Trade — trigger: reclaim $950 on volume</t>
  </si>
  <si>
    <t xml:space="preserve">B-011</t>
  </si>
  <si>
    <t xml:space="preserve">BTC</t>
  </si>
  <si>
    <t xml:space="preserve">Jul 2 live</t>
  </si>
  <si>
    <t xml:space="preserve">Watchlist — &gt;$63.8-64.5K / &lt;$56.2K</t>
  </si>
  <si>
    <t xml:space="preserve">B-012</t>
  </si>
  <si>
    <t xml:space="preserve">ETH</t>
  </si>
  <si>
    <t xml:space="preserve">Watchlist</t>
  </si>
  <si>
    <t xml:space="preserve">B-013</t>
  </si>
  <si>
    <t xml:space="preserve">BNB</t>
  </si>
  <si>
    <t xml:space="preserve">Watchlist — passive</t>
  </si>
  <si>
    <t xml:space="preserve">B-014</t>
  </si>
  <si>
    <t xml:space="preserve">XRP</t>
  </si>
  <si>
    <t xml:space="preserve">No Trade — $1.00 must hold</t>
  </si>
  <si>
    <t xml:space="preserve">B-015</t>
  </si>
  <si>
    <t xml:space="preserve">SOL</t>
  </si>
  <si>
    <t xml:space="preserve">Watchlist — beta on BTC confirm</t>
  </si>
  <si>
    <t xml:space="preserve">B-016</t>
  </si>
  <si>
    <t xml:space="preserve">TRX</t>
  </si>
  <si>
    <t xml:space="preserve">No Trade — no swing edge</t>
  </si>
  <si>
    <t xml:space="preserve">B-017</t>
  </si>
  <si>
    <t xml:space="preserve">HYPE</t>
  </si>
  <si>
    <t xml:space="preserve">Top watchlist — &gt;$77 / dies &lt;$52</t>
  </si>
  <si>
    <t xml:space="preserve">B-018</t>
  </si>
  <si>
    <t xml:space="preserve">DOGE</t>
  </si>
  <si>
    <t xml:space="preserve">No Trade — fails every gate</t>
  </si>
  <si>
    <t xml:space="preserve">B-019</t>
  </si>
  <si>
    <t xml:space="preserve">PENG</t>
  </si>
  <si>
    <t xml:space="preserve">Jul 6 close</t>
  </si>
  <si>
    <t xml:space="preserve">ARMED — hold mid-$60s + reclaim $70-71</t>
  </si>
  <si>
    <t xml:space="preserve">B-020</t>
  </si>
  <si>
    <t xml:space="preserve">VIVO</t>
  </si>
  <si>
    <t xml:space="preserve">Jul 11 unverified</t>
  </si>
  <si>
    <t xml:space="preserve">No Trade — no defined-risk entry</t>
  </si>
  <si>
    <t xml:space="preserve">B-021</t>
  </si>
  <si>
    <t xml:space="preserve">NBIS</t>
  </si>
  <si>
    <t xml:space="preserve">Jul 15 close</t>
  </si>
  <si>
    <t xml:space="preserve">Post-peak washout</t>
  </si>
  <si>
    <t xml:space="preserve">No Trade — reclaim + hold $200-203</t>
  </si>
  <si>
    <t xml:space="preserve">B-022</t>
  </si>
  <si>
    <t xml:space="preserve">GOOGL</t>
  </si>
  <si>
    <t xml:space="preserve">Jul 16 close</t>
  </si>
  <si>
    <t xml:space="preserve">Setup Forming — earnings gate Jul 22</t>
  </si>
  <si>
    <t xml:space="preserve">THE BENCH  —  PERFORMANCE DASHBOARD</t>
  </si>
  <si>
    <t xml:space="preserve">OVERVIEW</t>
  </si>
  <si>
    <t xml:space="preserve">Total Calls Logged</t>
  </si>
  <si>
    <t xml:space="preserve">Actionable (Overall A/B tier)</t>
  </si>
  <si>
    <t xml:space="preserve">Pass / No-Trade (C and below)</t>
  </si>
  <si>
    <t xml:space="preserve">Average Opportunity Score</t>
  </si>
  <si>
    <t xml:space="preserve">OUTCOMES</t>
  </si>
  <si>
    <t xml:space="preserve">Wins</t>
  </si>
  <si>
    <t xml:space="preserve">Losses</t>
  </si>
  <si>
    <t xml:space="preserve">Open / Unresolved</t>
  </si>
  <si>
    <t xml:space="preserve">Win Rate</t>
  </si>
  <si>
    <t xml:space="preserve">Avg % Move — Winners</t>
  </si>
  <si>
    <t xml:space="preserve">Avg % Move — Losers</t>
  </si>
  <si>
    <t xml:space="preserve">CONFIDENCE CALIBRATION  (aggregate only — meaningful ~30 closes)</t>
  </si>
  <si>
    <t xml:space="preserve">85%+ confidence win rate</t>
  </si>
  <si>
    <t xml:space="preserve">70-84% confidence win rate</t>
  </si>
  <si>
    <t xml:space="preserve">&lt;70% confidence win rate</t>
  </si>
  <si>
    <t xml:space="preserve">BY ENGINE  (keeps calibration honest)</t>
  </si>
  <si>
    <t xml:space="preserve">gpt-runner</t>
  </si>
  <si>
    <t xml:space="preserve">manual</t>
  </si>
  <si>
    <t xml:space="preserve">BY HODL STATUS</t>
  </si>
  <si>
    <t xml:space="preserve">Hold-quality</t>
  </si>
  <si>
    <t xml:space="preserve">Trade-only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</si>
</sst>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\$#,##0.0000"/>
    <numFmt numFmtId="167" formatCode="0"/>
    <numFmt numFmtId="168" formatCode="0\%"/>
    <numFmt numFmtId="169" formatCode="\$#,##0.00"/>
    <numFmt numFmtId="170" formatCode="0.0%"/>
    <numFmt numFmtId="171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F37"/>
      <name val="Arial"/>
      <family val="0"/>
      <charset val="1"/>
    </font>
    <font>
      <b val="true"/>
      <sz val="10"/>
      <color rgb="FFD4AF3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5ECCB"/>
        <bgColor rgb="FFFBE4E4"/>
      </patternFill>
    </fill>
    <fill>
      <patternFill patternType="solid">
        <fgColor rgb="FFFBE4E4"/>
        <bgColor rgb="FFF5ECCB"/>
      </patternFill>
    </fill>
    <fill>
      <patternFill patternType="solid">
        <fgColor rgb="FF4A4A4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CC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26"/>
    <col collapsed="false" customWidth="true" hidden="false" outlineLevel="0" max="15" min="15" style="0" width="30"/>
    <col collapsed="false" customWidth="true" hidden="false" outlineLevel="0" max="17" min="16" style="0" width="9"/>
    <col collapsed="false" customWidth="true" hidden="false" outlineLevel="0" max="18" min="18" style="0" width="15"/>
    <col collapsed="false" customWidth="true" hidden="false" outlineLevel="0" max="19" min="19" style="0" width="9"/>
    <col collapsed="false" customWidth="true" hidden="false" outlineLevel="0" max="20" min="20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5" hidden="false" customHeight="false" outlineLevel="0" collapsed="false">
      <c r="A3" s="3" t="s">
        <v>21</v>
      </c>
      <c r="B3" s="4" t="n">
        <v>46203</v>
      </c>
      <c r="C3" s="3" t="s">
        <v>22</v>
      </c>
      <c r="D3" s="5" t="n">
        <v>371.39</v>
      </c>
      <c r="E3" s="3" t="s">
        <v>23</v>
      </c>
      <c r="F3" s="6" t="n">
        <v>36</v>
      </c>
      <c r="G3" s="7"/>
      <c r="H3" s="3" t="s">
        <v>24</v>
      </c>
      <c r="I3" s="3" t="s">
        <v>25</v>
      </c>
      <c r="J3" s="3" t="s">
        <v>24</v>
      </c>
      <c r="K3" s="3" t="s">
        <v>24</v>
      </c>
      <c r="L3" s="3" t="s">
        <v>26</v>
      </c>
      <c r="M3" s="6" t="n">
        <v>3</v>
      </c>
      <c r="N3" s="3" t="s">
        <v>27</v>
      </c>
      <c r="O3" s="8" t="s">
        <v>28</v>
      </c>
      <c r="P3" s="3" t="s">
        <v>29</v>
      </c>
      <c r="Q3" s="3"/>
      <c r="R3" s="9"/>
      <c r="S3" s="10" t="str">
        <f aca="false">IF(R3="","",(R3-D3)/D3)</f>
        <v/>
      </c>
      <c r="T3" s="8"/>
    </row>
    <row r="4" customFormat="false" ht="15" hidden="false" customHeight="false" outlineLevel="0" collapsed="false">
      <c r="A4" s="3" t="s">
        <v>30</v>
      </c>
      <c r="B4" s="4" t="n">
        <v>46203</v>
      </c>
      <c r="C4" s="3" t="s">
        <v>31</v>
      </c>
      <c r="D4" s="5" t="n">
        <v>0.18</v>
      </c>
      <c r="E4" s="3" t="s">
        <v>23</v>
      </c>
      <c r="F4" s="6" t="n">
        <v>32</v>
      </c>
      <c r="G4" s="7"/>
      <c r="H4" s="3" t="s">
        <v>24</v>
      </c>
      <c r="I4" s="3" t="s">
        <v>32</v>
      </c>
      <c r="J4" s="3" t="s">
        <v>24</v>
      </c>
      <c r="K4" s="3" t="s">
        <v>24</v>
      </c>
      <c r="L4" s="3" t="s">
        <v>26</v>
      </c>
      <c r="M4" s="6" t="n">
        <v>2</v>
      </c>
      <c r="N4" s="3" t="s">
        <v>33</v>
      </c>
      <c r="O4" s="8" t="s">
        <v>34</v>
      </c>
      <c r="P4" s="3" t="s">
        <v>29</v>
      </c>
      <c r="Q4" s="3"/>
      <c r="R4" s="9"/>
      <c r="S4" s="10" t="str">
        <f aca="false">IF(R4="","",(R4-D4)/D4)</f>
        <v/>
      </c>
      <c r="T4" s="8"/>
    </row>
    <row r="5" customFormat="false" ht="15" hidden="false" customHeight="false" outlineLevel="0" collapsed="false">
      <c r="A5" s="3" t="s">
        <v>35</v>
      </c>
      <c r="B5" s="4" t="n">
        <v>46203</v>
      </c>
      <c r="C5" s="3" t="s">
        <v>36</v>
      </c>
      <c r="D5" s="5" t="n">
        <v>62.5</v>
      </c>
      <c r="E5" s="3" t="s">
        <v>23</v>
      </c>
      <c r="F5" s="6" t="n">
        <v>43</v>
      </c>
      <c r="G5" s="7"/>
      <c r="H5" s="3" t="s">
        <v>37</v>
      </c>
      <c r="I5" s="3" t="s">
        <v>38</v>
      </c>
      <c r="J5" s="3" t="s">
        <v>24</v>
      </c>
      <c r="K5" s="3" t="s">
        <v>24</v>
      </c>
      <c r="L5" s="3" t="s">
        <v>39</v>
      </c>
      <c r="M5" s="6" t="n">
        <v>3</v>
      </c>
      <c r="N5" s="3" t="s">
        <v>33</v>
      </c>
      <c r="O5" s="8" t="s">
        <v>40</v>
      </c>
      <c r="P5" s="3" t="s">
        <v>29</v>
      </c>
      <c r="Q5" s="3"/>
      <c r="R5" s="9"/>
      <c r="S5" s="10" t="str">
        <f aca="false">IF(R5="","",(R5-D5)/D5)</f>
        <v/>
      </c>
      <c r="T5" s="8"/>
    </row>
    <row r="6" customFormat="false" ht="35.05" hidden="false" customHeight="false" outlineLevel="0" collapsed="false">
      <c r="A6" s="11" t="s">
        <v>41</v>
      </c>
      <c r="B6" s="12" t="n">
        <v>46203</v>
      </c>
      <c r="C6" s="11" t="s">
        <v>42</v>
      </c>
      <c r="D6" s="13" t="n">
        <v>1150</v>
      </c>
      <c r="E6" s="11" t="s">
        <v>23</v>
      </c>
      <c r="F6" s="14" t="n">
        <v>73</v>
      </c>
      <c r="G6" s="15" t="n">
        <v>75</v>
      </c>
      <c r="H6" s="11" t="s">
        <v>43</v>
      </c>
      <c r="I6" s="11" t="s">
        <v>25</v>
      </c>
      <c r="J6" s="11" t="s">
        <v>32</v>
      </c>
      <c r="K6" s="11" t="s">
        <v>37</v>
      </c>
      <c r="L6" s="11" t="s">
        <v>44</v>
      </c>
      <c r="M6" s="14" t="n">
        <v>3</v>
      </c>
      <c r="N6" s="11" t="s">
        <v>27</v>
      </c>
      <c r="O6" s="16" t="s">
        <v>45</v>
      </c>
      <c r="P6" s="11" t="s">
        <v>29</v>
      </c>
      <c r="Q6" s="11" t="s">
        <v>46</v>
      </c>
      <c r="R6" s="17" t="n">
        <v>1020</v>
      </c>
      <c r="S6" s="18" t="n">
        <f aca="false">IF(R6="","",(R6-D6)/D6)</f>
        <v>-0.11304347826087</v>
      </c>
      <c r="T6" s="16" t="s">
        <v>47</v>
      </c>
    </row>
    <row r="7" customFormat="false" ht="15" hidden="false" customHeight="false" outlineLevel="0" collapsed="false">
      <c r="A7" s="3" t="s">
        <v>48</v>
      </c>
      <c r="B7" s="4" t="n">
        <v>46205</v>
      </c>
      <c r="C7" s="3" t="s">
        <v>49</v>
      </c>
      <c r="D7" s="5" t="n">
        <v>137.14</v>
      </c>
      <c r="E7" s="3" t="s">
        <v>50</v>
      </c>
      <c r="F7" s="6" t="n">
        <v>56</v>
      </c>
      <c r="G7" s="7"/>
      <c r="H7" s="3" t="s">
        <v>51</v>
      </c>
      <c r="I7" s="3" t="s">
        <v>52</v>
      </c>
      <c r="J7" s="3" t="s">
        <v>24</v>
      </c>
      <c r="K7" s="3" t="s">
        <v>38</v>
      </c>
      <c r="L7" s="3" t="s">
        <v>26</v>
      </c>
      <c r="M7" s="6" t="n">
        <v>2</v>
      </c>
      <c r="N7" s="3" t="s">
        <v>53</v>
      </c>
      <c r="O7" s="8" t="s">
        <v>54</v>
      </c>
      <c r="P7" s="3" t="s">
        <v>29</v>
      </c>
      <c r="Q7" s="3"/>
      <c r="R7" s="9"/>
      <c r="S7" s="10" t="str">
        <f aca="false">IF(R7="","",(R7-D7)/D7)</f>
        <v/>
      </c>
      <c r="T7" s="8"/>
    </row>
    <row r="8" customFormat="false" ht="15" hidden="false" customHeight="false" outlineLevel="0" collapsed="false">
      <c r="A8" s="3" t="s">
        <v>55</v>
      </c>
      <c r="B8" s="4" t="n">
        <v>46205</v>
      </c>
      <c r="C8" s="3" t="s">
        <v>56</v>
      </c>
      <c r="D8" s="5" t="n">
        <v>167.8</v>
      </c>
      <c r="E8" s="3" t="s">
        <v>50</v>
      </c>
      <c r="F8" s="6" t="n">
        <v>53</v>
      </c>
      <c r="G8" s="7"/>
      <c r="H8" s="3" t="s">
        <v>24</v>
      </c>
      <c r="I8" s="3" t="s">
        <v>52</v>
      </c>
      <c r="J8" s="3" t="s">
        <v>24</v>
      </c>
      <c r="K8" s="3" t="s">
        <v>38</v>
      </c>
      <c r="L8" s="3" t="s">
        <v>26</v>
      </c>
      <c r="M8" s="6" t="n">
        <v>2</v>
      </c>
      <c r="N8" s="3" t="s">
        <v>53</v>
      </c>
      <c r="O8" s="8" t="s">
        <v>54</v>
      </c>
      <c r="P8" s="3" t="s">
        <v>29</v>
      </c>
      <c r="Q8" s="3"/>
      <c r="R8" s="9"/>
      <c r="S8" s="10" t="str">
        <f aca="false">IF(R8="","",(R8-D8)/D8)</f>
        <v/>
      </c>
      <c r="T8" s="8"/>
    </row>
    <row r="9" customFormat="false" ht="15" hidden="false" customHeight="false" outlineLevel="0" collapsed="false">
      <c r="A9" s="3" t="s">
        <v>57</v>
      </c>
      <c r="B9" s="4" t="n">
        <v>46205</v>
      </c>
      <c r="C9" s="3" t="s">
        <v>58</v>
      </c>
      <c r="D9" s="5" t="n">
        <v>103.54</v>
      </c>
      <c r="E9" s="3" t="s">
        <v>50</v>
      </c>
      <c r="F9" s="6" t="n">
        <v>47</v>
      </c>
      <c r="G9" s="7"/>
      <c r="H9" s="3" t="s">
        <v>24</v>
      </c>
      <c r="I9" s="3" t="s">
        <v>43</v>
      </c>
      <c r="J9" s="3" t="s">
        <v>24</v>
      </c>
      <c r="K9" s="3" t="s">
        <v>51</v>
      </c>
      <c r="L9" s="3" t="s">
        <v>26</v>
      </c>
      <c r="M9" s="6" t="n">
        <v>2</v>
      </c>
      <c r="N9" s="3" t="s">
        <v>33</v>
      </c>
      <c r="O9" s="8" t="s">
        <v>54</v>
      </c>
      <c r="P9" s="3" t="s">
        <v>29</v>
      </c>
      <c r="Q9" s="3"/>
      <c r="R9" s="9"/>
      <c r="S9" s="10" t="str">
        <f aca="false">IF(R9="","",(R9-D9)/D9)</f>
        <v/>
      </c>
      <c r="T9" s="8"/>
    </row>
    <row r="10" customFormat="false" ht="15" hidden="false" customHeight="false" outlineLevel="0" collapsed="false">
      <c r="A10" s="3" t="s">
        <v>59</v>
      </c>
      <c r="B10" s="4" t="n">
        <v>46205</v>
      </c>
      <c r="C10" s="3" t="s">
        <v>60</v>
      </c>
      <c r="D10" s="5" t="n">
        <v>48.15</v>
      </c>
      <c r="E10" s="3" t="s">
        <v>50</v>
      </c>
      <c r="F10" s="6" t="n">
        <v>42</v>
      </c>
      <c r="G10" s="7"/>
      <c r="H10" s="3" t="s">
        <v>24</v>
      </c>
      <c r="I10" s="3" t="s">
        <v>32</v>
      </c>
      <c r="J10" s="3" t="s">
        <v>24</v>
      </c>
      <c r="K10" s="3" t="s">
        <v>24</v>
      </c>
      <c r="L10" s="3" t="s">
        <v>26</v>
      </c>
      <c r="M10" s="6" t="n">
        <v>2</v>
      </c>
      <c r="N10" s="3" t="s">
        <v>33</v>
      </c>
      <c r="O10" s="8" t="s">
        <v>54</v>
      </c>
      <c r="P10" s="3" t="s">
        <v>29</v>
      </c>
      <c r="Q10" s="3"/>
      <c r="R10" s="9"/>
      <c r="S10" s="10" t="str">
        <f aca="false">IF(R10="","",(R10-D10)/D10)</f>
        <v/>
      </c>
      <c r="T10" s="8"/>
    </row>
    <row r="11" customFormat="false" ht="15" hidden="false" customHeight="false" outlineLevel="0" collapsed="false">
      <c r="A11" s="3" t="s">
        <v>61</v>
      </c>
      <c r="B11" s="4" t="n">
        <v>46205</v>
      </c>
      <c r="C11" s="3" t="s">
        <v>62</v>
      </c>
      <c r="D11" s="5" t="n">
        <v>522</v>
      </c>
      <c r="E11" s="3" t="s">
        <v>50</v>
      </c>
      <c r="F11" s="6" t="n">
        <v>63</v>
      </c>
      <c r="G11" s="7"/>
      <c r="H11" s="3" t="s">
        <v>38</v>
      </c>
      <c r="I11" s="3" t="s">
        <v>52</v>
      </c>
      <c r="J11" s="3" t="s">
        <v>38</v>
      </c>
      <c r="K11" s="3" t="s">
        <v>63</v>
      </c>
      <c r="L11" s="3" t="s">
        <v>26</v>
      </c>
      <c r="M11" s="6" t="n">
        <v>3</v>
      </c>
      <c r="N11" s="3" t="s">
        <v>53</v>
      </c>
      <c r="O11" s="8" t="s">
        <v>64</v>
      </c>
      <c r="P11" s="3" t="s">
        <v>29</v>
      </c>
      <c r="Q11" s="3"/>
      <c r="R11" s="9"/>
      <c r="S11" s="10" t="str">
        <f aca="false">IF(R11="","",(R11-D11)/D11)</f>
        <v/>
      </c>
      <c r="T11" s="8"/>
    </row>
    <row r="12" customFormat="false" ht="23.85" hidden="false" customHeight="false" outlineLevel="0" collapsed="false">
      <c r="A12" s="3" t="s">
        <v>65</v>
      </c>
      <c r="B12" s="4" t="n">
        <v>46205</v>
      </c>
      <c r="C12" s="3" t="s">
        <v>42</v>
      </c>
      <c r="D12" s="5" t="n">
        <v>978.56</v>
      </c>
      <c r="E12" s="3" t="s">
        <v>50</v>
      </c>
      <c r="F12" s="6" t="n">
        <v>36</v>
      </c>
      <c r="G12" s="7"/>
      <c r="H12" s="3" t="s">
        <v>24</v>
      </c>
      <c r="I12" s="3" t="s">
        <v>52</v>
      </c>
      <c r="J12" s="3" t="s">
        <v>66</v>
      </c>
      <c r="K12" s="3" t="s">
        <v>24</v>
      </c>
      <c r="L12" s="3" t="s">
        <v>26</v>
      </c>
      <c r="M12" s="6" t="n">
        <v>3</v>
      </c>
      <c r="N12" s="3" t="s">
        <v>27</v>
      </c>
      <c r="O12" s="8" t="s">
        <v>67</v>
      </c>
      <c r="P12" s="3" t="s">
        <v>29</v>
      </c>
      <c r="Q12" s="3"/>
      <c r="R12" s="9"/>
      <c r="S12" s="10" t="str">
        <f aca="false">IF(R12="","",(R12-D12)/D12)</f>
        <v/>
      </c>
      <c r="T12" s="8"/>
    </row>
    <row r="13" customFormat="false" ht="15" hidden="false" customHeight="false" outlineLevel="0" collapsed="false">
      <c r="A13" s="3" t="s">
        <v>68</v>
      </c>
      <c r="B13" s="4" t="n">
        <v>46205</v>
      </c>
      <c r="C13" s="3" t="s">
        <v>69</v>
      </c>
      <c r="D13" s="5" t="n">
        <v>61360</v>
      </c>
      <c r="E13" s="3" t="s">
        <v>70</v>
      </c>
      <c r="F13" s="6" t="n">
        <v>45</v>
      </c>
      <c r="G13" s="7"/>
      <c r="H13" s="3" t="s">
        <v>51</v>
      </c>
      <c r="I13" s="3" t="s">
        <v>37</v>
      </c>
      <c r="J13" s="3" t="s">
        <v>24</v>
      </c>
      <c r="K13" s="3" t="s">
        <v>51</v>
      </c>
      <c r="L13" s="3" t="s">
        <v>26</v>
      </c>
      <c r="M13" s="6" t="n">
        <v>2</v>
      </c>
      <c r="N13" s="3" t="s">
        <v>27</v>
      </c>
      <c r="O13" s="8" t="s">
        <v>71</v>
      </c>
      <c r="P13" s="3" t="s">
        <v>29</v>
      </c>
      <c r="Q13" s="3"/>
      <c r="R13" s="9"/>
      <c r="S13" s="10" t="str">
        <f aca="false">IF(R13="","",(R13-D13)/D13)</f>
        <v/>
      </c>
      <c r="T13" s="8"/>
    </row>
    <row r="14" customFormat="false" ht="15" hidden="false" customHeight="false" outlineLevel="0" collapsed="false">
      <c r="A14" s="3" t="s">
        <v>72</v>
      </c>
      <c r="B14" s="4" t="n">
        <v>46205</v>
      </c>
      <c r="C14" s="3" t="s">
        <v>73</v>
      </c>
      <c r="D14" s="5" t="n">
        <v>1698.23</v>
      </c>
      <c r="E14" s="3" t="s">
        <v>70</v>
      </c>
      <c r="F14" s="6" t="n">
        <v>44</v>
      </c>
      <c r="G14" s="7"/>
      <c r="H14" s="3" t="s">
        <v>24</v>
      </c>
      <c r="I14" s="3" t="s">
        <v>37</v>
      </c>
      <c r="J14" s="3" t="s">
        <v>24</v>
      </c>
      <c r="K14" s="3" t="s">
        <v>51</v>
      </c>
      <c r="L14" s="3" t="s">
        <v>26</v>
      </c>
      <c r="M14" s="6" t="n">
        <v>2</v>
      </c>
      <c r="N14" s="3" t="s">
        <v>53</v>
      </c>
      <c r="O14" s="8" t="s">
        <v>74</v>
      </c>
      <c r="P14" s="3" t="s">
        <v>29</v>
      </c>
      <c r="Q14" s="3"/>
      <c r="R14" s="9"/>
      <c r="S14" s="10" t="str">
        <f aca="false">IF(R14="","",(R14-D14)/D14)</f>
        <v/>
      </c>
      <c r="T14" s="8"/>
    </row>
    <row r="15" customFormat="false" ht="15" hidden="false" customHeight="false" outlineLevel="0" collapsed="false">
      <c r="A15" s="3" t="s">
        <v>75</v>
      </c>
      <c r="B15" s="4" t="n">
        <v>46205</v>
      </c>
      <c r="C15" s="3" t="s">
        <v>76</v>
      </c>
      <c r="D15" s="5" t="n">
        <v>561.97</v>
      </c>
      <c r="E15" s="3" t="s">
        <v>70</v>
      </c>
      <c r="F15" s="6" t="n">
        <v>46</v>
      </c>
      <c r="G15" s="7"/>
      <c r="H15" s="3" t="s">
        <v>38</v>
      </c>
      <c r="I15" s="3" t="s">
        <v>32</v>
      </c>
      <c r="J15" s="3" t="s">
        <v>24</v>
      </c>
      <c r="K15" s="3" t="s">
        <v>38</v>
      </c>
      <c r="L15" s="3" t="s">
        <v>26</v>
      </c>
      <c r="M15" s="6" t="n">
        <v>2</v>
      </c>
      <c r="N15" s="3" t="s">
        <v>33</v>
      </c>
      <c r="O15" s="8" t="s">
        <v>77</v>
      </c>
      <c r="P15" s="3" t="s">
        <v>29</v>
      </c>
      <c r="Q15" s="3"/>
      <c r="R15" s="9"/>
      <c r="S15" s="10" t="str">
        <f aca="false">IF(R15="","",(R15-D15)/D15)</f>
        <v/>
      </c>
      <c r="T15" s="8"/>
    </row>
    <row r="16" customFormat="false" ht="15" hidden="false" customHeight="false" outlineLevel="0" collapsed="false">
      <c r="A16" s="3" t="s">
        <v>78</v>
      </c>
      <c r="B16" s="4" t="n">
        <v>46205</v>
      </c>
      <c r="C16" s="3" t="s">
        <v>79</v>
      </c>
      <c r="D16" s="5" t="n">
        <v>1.09</v>
      </c>
      <c r="E16" s="3" t="s">
        <v>70</v>
      </c>
      <c r="F16" s="6" t="n">
        <v>40</v>
      </c>
      <c r="G16" s="7"/>
      <c r="H16" s="3" t="s">
        <v>24</v>
      </c>
      <c r="I16" s="3" t="s">
        <v>63</v>
      </c>
      <c r="J16" s="3" t="s">
        <v>24</v>
      </c>
      <c r="K16" s="3" t="s">
        <v>51</v>
      </c>
      <c r="L16" s="3" t="s">
        <v>26</v>
      </c>
      <c r="M16" s="6" t="n">
        <v>2</v>
      </c>
      <c r="N16" s="3" t="s">
        <v>33</v>
      </c>
      <c r="O16" s="8" t="s">
        <v>80</v>
      </c>
      <c r="P16" s="3" t="s">
        <v>29</v>
      </c>
      <c r="Q16" s="3"/>
      <c r="R16" s="9"/>
      <c r="S16" s="10" t="str">
        <f aca="false">IF(R16="","",(R16-D16)/D16)</f>
        <v/>
      </c>
      <c r="T16" s="8"/>
    </row>
    <row r="17" customFormat="false" ht="15" hidden="false" customHeight="false" outlineLevel="0" collapsed="false">
      <c r="A17" s="3" t="s">
        <v>81</v>
      </c>
      <c r="B17" s="4" t="n">
        <v>46205</v>
      </c>
      <c r="C17" s="3" t="s">
        <v>82</v>
      </c>
      <c r="D17" s="5" t="n">
        <v>80.66</v>
      </c>
      <c r="E17" s="3" t="s">
        <v>70</v>
      </c>
      <c r="F17" s="6" t="n">
        <v>50</v>
      </c>
      <c r="G17" s="7"/>
      <c r="H17" s="3" t="s">
        <v>38</v>
      </c>
      <c r="I17" s="3" t="s">
        <v>32</v>
      </c>
      <c r="J17" s="3" t="s">
        <v>24</v>
      </c>
      <c r="K17" s="3" t="s">
        <v>38</v>
      </c>
      <c r="L17" s="3" t="s">
        <v>26</v>
      </c>
      <c r="M17" s="6" t="n">
        <v>2</v>
      </c>
      <c r="N17" s="3" t="s">
        <v>53</v>
      </c>
      <c r="O17" s="8" t="s">
        <v>83</v>
      </c>
      <c r="P17" s="3" t="s">
        <v>29</v>
      </c>
      <c r="Q17" s="3"/>
      <c r="R17" s="9"/>
      <c r="S17" s="10" t="str">
        <f aca="false">IF(R17="","",(R17-D17)/D17)</f>
        <v/>
      </c>
      <c r="T17" s="8"/>
    </row>
    <row r="18" customFormat="false" ht="15" hidden="false" customHeight="false" outlineLevel="0" collapsed="false">
      <c r="A18" s="3" t="s">
        <v>84</v>
      </c>
      <c r="B18" s="4" t="n">
        <v>46205</v>
      </c>
      <c r="C18" s="3" t="s">
        <v>85</v>
      </c>
      <c r="D18" s="5" t="n">
        <v>0.3179</v>
      </c>
      <c r="E18" s="3" t="s">
        <v>70</v>
      </c>
      <c r="F18" s="6" t="n">
        <v>42</v>
      </c>
      <c r="G18" s="7"/>
      <c r="H18" s="3" t="s">
        <v>38</v>
      </c>
      <c r="I18" s="3" t="s">
        <v>32</v>
      </c>
      <c r="J18" s="3" t="s">
        <v>24</v>
      </c>
      <c r="K18" s="3" t="s">
        <v>38</v>
      </c>
      <c r="L18" s="3" t="s">
        <v>26</v>
      </c>
      <c r="M18" s="6" t="n">
        <v>2</v>
      </c>
      <c r="N18" s="3" t="s">
        <v>33</v>
      </c>
      <c r="O18" s="8" t="s">
        <v>86</v>
      </c>
      <c r="P18" s="3" t="s">
        <v>29</v>
      </c>
      <c r="Q18" s="3"/>
      <c r="R18" s="9"/>
      <c r="S18" s="10" t="str">
        <f aca="false">IF(R18="","",(R18-D18)/D18)</f>
        <v/>
      </c>
      <c r="T18" s="8"/>
    </row>
    <row r="19" customFormat="false" ht="15" hidden="false" customHeight="false" outlineLevel="0" collapsed="false">
      <c r="A19" s="3" t="s">
        <v>87</v>
      </c>
      <c r="B19" s="4" t="n">
        <v>46205</v>
      </c>
      <c r="C19" s="3" t="s">
        <v>88</v>
      </c>
      <c r="D19" s="5" t="n">
        <v>64.87</v>
      </c>
      <c r="E19" s="3" t="s">
        <v>70</v>
      </c>
      <c r="F19" s="6" t="n">
        <v>66</v>
      </c>
      <c r="G19" s="7"/>
      <c r="H19" s="3" t="s">
        <v>37</v>
      </c>
      <c r="I19" s="3" t="s">
        <v>43</v>
      </c>
      <c r="J19" s="3" t="s">
        <v>63</v>
      </c>
      <c r="K19" s="3" t="s">
        <v>63</v>
      </c>
      <c r="L19" s="3" t="s">
        <v>44</v>
      </c>
      <c r="M19" s="6" t="n">
        <v>2</v>
      </c>
      <c r="N19" s="3" t="s">
        <v>53</v>
      </c>
      <c r="O19" s="8" t="s">
        <v>89</v>
      </c>
      <c r="P19" s="3" t="s">
        <v>29</v>
      </c>
      <c r="Q19" s="3"/>
      <c r="R19" s="9"/>
      <c r="S19" s="10" t="str">
        <f aca="false">IF(R19="","",(R19-D19)/D19)</f>
        <v/>
      </c>
      <c r="T19" s="8"/>
    </row>
    <row r="20" customFormat="false" ht="15" hidden="false" customHeight="false" outlineLevel="0" collapsed="false">
      <c r="A20" s="3" t="s">
        <v>90</v>
      </c>
      <c r="B20" s="4" t="n">
        <v>46205</v>
      </c>
      <c r="C20" s="3" t="s">
        <v>91</v>
      </c>
      <c r="D20" s="5" t="n">
        <v>0.07427</v>
      </c>
      <c r="E20" s="3" t="s">
        <v>70</v>
      </c>
      <c r="F20" s="6" t="n">
        <v>25</v>
      </c>
      <c r="G20" s="7"/>
      <c r="H20" s="3" t="s">
        <v>24</v>
      </c>
      <c r="I20" s="3" t="s">
        <v>66</v>
      </c>
      <c r="J20" s="3" t="s">
        <v>24</v>
      </c>
      <c r="K20" s="3" t="s">
        <v>24</v>
      </c>
      <c r="L20" s="3" t="s">
        <v>26</v>
      </c>
      <c r="M20" s="6" t="n">
        <v>2</v>
      </c>
      <c r="N20" s="3" t="s">
        <v>33</v>
      </c>
      <c r="O20" s="8" t="s">
        <v>92</v>
      </c>
      <c r="P20" s="3" t="s">
        <v>29</v>
      </c>
      <c r="Q20" s="3"/>
      <c r="R20" s="9"/>
      <c r="S20" s="10" t="str">
        <f aca="false">IF(R20="","",(R20-D20)/D20)</f>
        <v/>
      </c>
      <c r="T20" s="8"/>
    </row>
    <row r="21" customFormat="false" ht="23.85" hidden="false" customHeight="false" outlineLevel="0" collapsed="false">
      <c r="A21" s="3" t="s">
        <v>93</v>
      </c>
      <c r="B21" s="4" t="n">
        <v>46209</v>
      </c>
      <c r="C21" s="3" t="s">
        <v>94</v>
      </c>
      <c r="D21" s="5" t="n">
        <v>67.71</v>
      </c>
      <c r="E21" s="3" t="s">
        <v>95</v>
      </c>
      <c r="F21" s="6" t="n">
        <v>62</v>
      </c>
      <c r="G21" s="7"/>
      <c r="H21" s="3" t="s">
        <v>37</v>
      </c>
      <c r="I21" s="3" t="s">
        <v>43</v>
      </c>
      <c r="J21" s="3" t="s">
        <v>24</v>
      </c>
      <c r="K21" s="3" t="s">
        <v>63</v>
      </c>
      <c r="L21" s="3" t="s">
        <v>44</v>
      </c>
      <c r="M21" s="6" t="n">
        <v>3</v>
      </c>
      <c r="N21" s="3" t="s">
        <v>53</v>
      </c>
      <c r="O21" s="8" t="s">
        <v>96</v>
      </c>
      <c r="P21" s="3" t="s">
        <v>29</v>
      </c>
      <c r="Q21" s="3"/>
      <c r="R21" s="9"/>
      <c r="S21" s="10" t="str">
        <f aca="false">IF(R21="","",(R21-D21)/D21)</f>
        <v/>
      </c>
      <c r="T21" s="8"/>
    </row>
    <row r="22" customFormat="false" ht="15" hidden="false" customHeight="false" outlineLevel="0" collapsed="false">
      <c r="A22" s="3" t="s">
        <v>97</v>
      </c>
      <c r="B22" s="4" t="n">
        <v>46214</v>
      </c>
      <c r="C22" s="3" t="s">
        <v>98</v>
      </c>
      <c r="D22" s="5" t="n">
        <v>5.23</v>
      </c>
      <c r="E22" s="3" t="s">
        <v>99</v>
      </c>
      <c r="F22" s="6" t="n">
        <v>41</v>
      </c>
      <c r="G22" s="7"/>
      <c r="H22" s="3" t="s">
        <v>38</v>
      </c>
      <c r="I22" s="3" t="s">
        <v>24</v>
      </c>
      <c r="J22" s="3" t="s">
        <v>66</v>
      </c>
      <c r="K22" s="3" t="s">
        <v>24</v>
      </c>
      <c r="L22" s="3" t="s">
        <v>39</v>
      </c>
      <c r="M22" s="6" t="n">
        <v>3</v>
      </c>
      <c r="N22" s="3" t="s">
        <v>33</v>
      </c>
      <c r="O22" s="8" t="s">
        <v>100</v>
      </c>
      <c r="P22" s="3" t="s">
        <v>29</v>
      </c>
      <c r="Q22" s="3"/>
      <c r="R22" s="9"/>
      <c r="S22" s="10" t="str">
        <f aca="false">IF(R22="","",(R22-D22)/D22)</f>
        <v/>
      </c>
      <c r="T22" s="8"/>
    </row>
    <row r="23" customFormat="false" ht="23.85" hidden="false" customHeight="false" outlineLevel="0" collapsed="false">
      <c r="A23" s="3" t="s">
        <v>101</v>
      </c>
      <c r="B23" s="4" t="n">
        <v>46219</v>
      </c>
      <c r="C23" s="3" t="s">
        <v>102</v>
      </c>
      <c r="D23" s="5" t="n">
        <v>195.75</v>
      </c>
      <c r="E23" s="3" t="s">
        <v>103</v>
      </c>
      <c r="F23" s="6" t="n">
        <v>54</v>
      </c>
      <c r="G23" s="7"/>
      <c r="H23" s="3" t="s">
        <v>51</v>
      </c>
      <c r="I23" s="3" t="s">
        <v>32</v>
      </c>
      <c r="J23" s="3" t="s">
        <v>24</v>
      </c>
      <c r="K23" s="3" t="s">
        <v>51</v>
      </c>
      <c r="L23" s="3" t="s">
        <v>104</v>
      </c>
      <c r="M23" s="6" t="n">
        <v>3</v>
      </c>
      <c r="N23" s="3" t="s">
        <v>53</v>
      </c>
      <c r="O23" s="8" t="s">
        <v>105</v>
      </c>
      <c r="P23" s="3" t="s">
        <v>29</v>
      </c>
      <c r="Q23" s="3"/>
      <c r="R23" s="9"/>
      <c r="S23" s="10" t="str">
        <f aca="false">IF(R23="","",(R23-D23)/D23)</f>
        <v/>
      </c>
      <c r="T23" s="8"/>
    </row>
    <row r="24" customFormat="false" ht="23.85" hidden="false" customHeight="false" outlineLevel="0" collapsed="false">
      <c r="A24" s="3" t="s">
        <v>106</v>
      </c>
      <c r="B24" s="4" t="n">
        <v>46223</v>
      </c>
      <c r="C24" s="3" t="s">
        <v>107</v>
      </c>
      <c r="D24" s="5" t="n">
        <v>354.46</v>
      </c>
      <c r="E24" s="3" t="s">
        <v>108</v>
      </c>
      <c r="F24" s="6" t="n">
        <v>74</v>
      </c>
      <c r="G24" s="7" t="n">
        <v>70</v>
      </c>
      <c r="H24" s="3" t="s">
        <v>43</v>
      </c>
      <c r="I24" s="3" t="s">
        <v>25</v>
      </c>
      <c r="J24" s="3" t="s">
        <v>38</v>
      </c>
      <c r="K24" s="3" t="s">
        <v>32</v>
      </c>
      <c r="L24" s="3" t="s">
        <v>44</v>
      </c>
      <c r="M24" s="6" t="n">
        <v>3</v>
      </c>
      <c r="N24" s="3" t="s">
        <v>27</v>
      </c>
      <c r="O24" s="8" t="s">
        <v>109</v>
      </c>
      <c r="P24" s="3" t="s">
        <v>29</v>
      </c>
      <c r="Q24" s="3"/>
      <c r="R24" s="9"/>
      <c r="S24" s="10" t="str">
        <f aca="false">IF(R24="","",(R24-D24)/D24)</f>
        <v/>
      </c>
      <c r="T24" s="8"/>
    </row>
    <row r="25" customFormat="false" ht="15" hidden="false" customHeight="false" outlineLevel="0" collapsed="false">
      <c r="A25" s="19"/>
      <c r="B25" s="20"/>
      <c r="C25" s="19"/>
      <c r="D25" s="21"/>
      <c r="E25" s="19"/>
      <c r="F25" s="22"/>
      <c r="G25" s="23"/>
      <c r="H25" s="19"/>
      <c r="I25" s="19"/>
      <c r="J25" s="19"/>
      <c r="K25" s="19"/>
      <c r="L25" s="19"/>
      <c r="M25" s="22"/>
      <c r="N25" s="19"/>
      <c r="O25" s="24"/>
      <c r="P25" s="19"/>
      <c r="Q25" s="19"/>
      <c r="R25" s="25"/>
      <c r="S25" s="26" t="str">
        <f aca="false">IF(R25="","",(R25-D25)/D25)</f>
        <v/>
      </c>
      <c r="T25" s="24"/>
    </row>
    <row r="26" customFormat="false" ht="15" hidden="false" customHeight="false" outlineLevel="0" collapsed="false">
      <c r="A26" s="19"/>
      <c r="B26" s="20"/>
      <c r="C26" s="19"/>
      <c r="D26" s="21"/>
      <c r="E26" s="19"/>
      <c r="F26" s="22"/>
      <c r="G26" s="23"/>
      <c r="H26" s="19"/>
      <c r="I26" s="19"/>
      <c r="J26" s="19"/>
      <c r="K26" s="19"/>
      <c r="L26" s="19"/>
      <c r="M26" s="22"/>
      <c r="N26" s="19"/>
      <c r="O26" s="24"/>
      <c r="P26" s="19"/>
      <c r="Q26" s="19"/>
      <c r="R26" s="25"/>
      <c r="S26" s="26" t="str">
        <f aca="false">IF(R26="","",(R26-D26)/D26)</f>
        <v/>
      </c>
      <c r="T26" s="24"/>
    </row>
    <row r="27" customFormat="false" ht="15" hidden="false" customHeight="false" outlineLevel="0" collapsed="false">
      <c r="A27" s="19"/>
      <c r="B27" s="20"/>
      <c r="C27" s="19"/>
      <c r="D27" s="21"/>
      <c r="E27" s="19"/>
      <c r="F27" s="22"/>
      <c r="G27" s="23"/>
      <c r="H27" s="19"/>
      <c r="I27" s="19"/>
      <c r="J27" s="19"/>
      <c r="K27" s="19"/>
      <c r="L27" s="19"/>
      <c r="M27" s="22"/>
      <c r="N27" s="19"/>
      <c r="O27" s="24"/>
      <c r="P27" s="19"/>
      <c r="Q27" s="19"/>
      <c r="R27" s="25"/>
      <c r="S27" s="26" t="str">
        <f aca="false">IF(R27="","",(R27-D27)/D27)</f>
        <v/>
      </c>
      <c r="T27" s="24"/>
    </row>
    <row r="28" customFormat="false" ht="15" hidden="false" customHeight="false" outlineLevel="0" collapsed="false">
      <c r="A28" s="19"/>
      <c r="B28" s="20"/>
      <c r="C28" s="19"/>
      <c r="D28" s="21"/>
      <c r="E28" s="19"/>
      <c r="F28" s="22"/>
      <c r="G28" s="23"/>
      <c r="H28" s="19"/>
      <c r="I28" s="19"/>
      <c r="J28" s="19"/>
      <c r="K28" s="19"/>
      <c r="L28" s="19"/>
      <c r="M28" s="22"/>
      <c r="N28" s="19"/>
      <c r="O28" s="24"/>
      <c r="P28" s="19"/>
      <c r="Q28" s="19"/>
      <c r="R28" s="25"/>
      <c r="S28" s="26" t="str">
        <f aca="false">IF(R28="","",(R28-D28)/D28)</f>
        <v/>
      </c>
      <c r="T28" s="24"/>
    </row>
    <row r="29" customFormat="false" ht="15" hidden="false" customHeight="false" outlineLevel="0" collapsed="false">
      <c r="A29" s="19"/>
      <c r="B29" s="20"/>
      <c r="C29" s="19"/>
      <c r="D29" s="21"/>
      <c r="E29" s="19"/>
      <c r="F29" s="22"/>
      <c r="G29" s="23"/>
      <c r="H29" s="19"/>
      <c r="I29" s="19"/>
      <c r="J29" s="19"/>
      <c r="K29" s="19"/>
      <c r="L29" s="19"/>
      <c r="M29" s="22"/>
      <c r="N29" s="19"/>
      <c r="O29" s="24"/>
      <c r="P29" s="19"/>
      <c r="Q29" s="19"/>
      <c r="R29" s="25"/>
      <c r="S29" s="26" t="str">
        <f aca="false">IF(R29="","",(R29-D29)/D29)</f>
        <v/>
      </c>
      <c r="T29" s="24"/>
    </row>
    <row r="30" customFormat="false" ht="15" hidden="false" customHeight="false" outlineLevel="0" collapsed="false">
      <c r="A30" s="19"/>
      <c r="B30" s="20"/>
      <c r="C30" s="19"/>
      <c r="D30" s="21"/>
      <c r="E30" s="19"/>
      <c r="F30" s="22"/>
      <c r="G30" s="23"/>
      <c r="H30" s="19"/>
      <c r="I30" s="19"/>
      <c r="J30" s="19"/>
      <c r="K30" s="19"/>
      <c r="L30" s="19"/>
      <c r="M30" s="22"/>
      <c r="N30" s="19"/>
      <c r="O30" s="24"/>
      <c r="P30" s="19"/>
      <c r="Q30" s="19"/>
      <c r="R30" s="25"/>
      <c r="S30" s="26" t="str">
        <f aca="false">IF(R30="","",(R30-D30)/D30)</f>
        <v/>
      </c>
      <c r="T30" s="24"/>
    </row>
    <row r="31" customFormat="false" ht="15" hidden="false" customHeight="false" outlineLevel="0" collapsed="false">
      <c r="A31" s="19"/>
      <c r="B31" s="20"/>
      <c r="C31" s="19"/>
      <c r="D31" s="21"/>
      <c r="E31" s="19"/>
      <c r="F31" s="22"/>
      <c r="G31" s="23"/>
      <c r="H31" s="19"/>
      <c r="I31" s="19"/>
      <c r="J31" s="19"/>
      <c r="K31" s="19"/>
      <c r="L31" s="19"/>
      <c r="M31" s="22"/>
      <c r="N31" s="19"/>
      <c r="O31" s="24"/>
      <c r="P31" s="19"/>
      <c r="Q31" s="19"/>
      <c r="R31" s="25"/>
      <c r="S31" s="26" t="str">
        <f aca="false">IF(R31="","",(R31-D31)/D31)</f>
        <v/>
      </c>
      <c r="T31" s="24"/>
    </row>
    <row r="32" customFormat="false" ht="15" hidden="false" customHeight="false" outlineLevel="0" collapsed="false">
      <c r="A32" s="19"/>
      <c r="B32" s="20"/>
      <c r="C32" s="19"/>
      <c r="D32" s="21"/>
      <c r="E32" s="19"/>
      <c r="F32" s="22"/>
      <c r="G32" s="23"/>
      <c r="H32" s="19"/>
      <c r="I32" s="19"/>
      <c r="J32" s="19"/>
      <c r="K32" s="19"/>
      <c r="L32" s="19"/>
      <c r="M32" s="22"/>
      <c r="N32" s="19"/>
      <c r="O32" s="24"/>
      <c r="P32" s="19"/>
      <c r="Q32" s="19"/>
      <c r="R32" s="25"/>
      <c r="S32" s="26" t="str">
        <f aca="false">IF(R32="","",(R32-D32)/D32)</f>
        <v/>
      </c>
      <c r="T32" s="24"/>
    </row>
    <row r="33" customFormat="false" ht="15" hidden="false" customHeight="false" outlineLevel="0" collapsed="false">
      <c r="A33" s="19"/>
      <c r="B33" s="20"/>
      <c r="C33" s="19"/>
      <c r="D33" s="21"/>
      <c r="E33" s="19"/>
      <c r="F33" s="22"/>
      <c r="G33" s="23"/>
      <c r="H33" s="19"/>
      <c r="I33" s="19"/>
      <c r="J33" s="19"/>
      <c r="K33" s="19"/>
      <c r="L33" s="19"/>
      <c r="M33" s="22"/>
      <c r="N33" s="19"/>
      <c r="O33" s="24"/>
      <c r="P33" s="19"/>
      <c r="Q33" s="19"/>
      <c r="R33" s="25"/>
      <c r="S33" s="26" t="str">
        <f aca="false">IF(R33="","",(R33-D33)/D33)</f>
        <v/>
      </c>
      <c r="T33" s="24"/>
    </row>
    <row r="34" customFormat="false" ht="15" hidden="false" customHeight="false" outlineLevel="0" collapsed="false">
      <c r="A34" s="19"/>
      <c r="B34" s="20"/>
      <c r="C34" s="19"/>
      <c r="D34" s="21"/>
      <c r="E34" s="19"/>
      <c r="F34" s="22"/>
      <c r="G34" s="23"/>
      <c r="H34" s="19"/>
      <c r="I34" s="19"/>
      <c r="J34" s="19"/>
      <c r="K34" s="19"/>
      <c r="L34" s="19"/>
      <c r="M34" s="22"/>
      <c r="N34" s="19"/>
      <c r="O34" s="24"/>
      <c r="P34" s="19"/>
      <c r="Q34" s="19"/>
      <c r="R34" s="25"/>
      <c r="S34" s="26" t="str">
        <f aca="false">IF(R34="","",(R34-D34)/D34)</f>
        <v/>
      </c>
      <c r="T34" s="24"/>
    </row>
    <row r="35" customFormat="false" ht="15" hidden="false" customHeight="false" outlineLevel="0" collapsed="false">
      <c r="A35" s="19"/>
      <c r="B35" s="20"/>
      <c r="C35" s="19"/>
      <c r="D35" s="21"/>
      <c r="E35" s="19"/>
      <c r="F35" s="22"/>
      <c r="G35" s="23"/>
      <c r="H35" s="19"/>
      <c r="I35" s="19"/>
      <c r="J35" s="19"/>
      <c r="K35" s="19"/>
      <c r="L35" s="19"/>
      <c r="M35" s="22"/>
      <c r="N35" s="19"/>
      <c r="O35" s="24"/>
      <c r="P35" s="19"/>
      <c r="Q35" s="19"/>
      <c r="R35" s="25"/>
      <c r="S35" s="26" t="str">
        <f aca="false">IF(R35="","",(R35-D35)/D35)</f>
        <v/>
      </c>
      <c r="T35" s="24"/>
    </row>
    <row r="36" customFormat="false" ht="15" hidden="false" customHeight="false" outlineLevel="0" collapsed="false">
      <c r="A36" s="19"/>
      <c r="B36" s="20"/>
      <c r="C36" s="19"/>
      <c r="D36" s="21"/>
      <c r="E36" s="19"/>
      <c r="F36" s="22"/>
      <c r="G36" s="23"/>
      <c r="H36" s="19"/>
      <c r="I36" s="19"/>
      <c r="J36" s="19"/>
      <c r="K36" s="19"/>
      <c r="L36" s="19"/>
      <c r="M36" s="22"/>
      <c r="N36" s="19"/>
      <c r="O36" s="24"/>
      <c r="P36" s="19"/>
      <c r="Q36" s="19"/>
      <c r="R36" s="25"/>
      <c r="S36" s="26" t="str">
        <f aca="false">IF(R36="","",(R36-D36)/D36)</f>
        <v/>
      </c>
      <c r="T36" s="24"/>
    </row>
    <row r="37" customFormat="false" ht="15" hidden="false" customHeight="false" outlineLevel="0" collapsed="false">
      <c r="A37" s="19"/>
      <c r="B37" s="20"/>
      <c r="C37" s="19"/>
      <c r="D37" s="21"/>
      <c r="E37" s="19"/>
      <c r="F37" s="22"/>
      <c r="G37" s="23"/>
      <c r="H37" s="19"/>
      <c r="I37" s="19"/>
      <c r="J37" s="19"/>
      <c r="K37" s="19"/>
      <c r="L37" s="19"/>
      <c r="M37" s="22"/>
      <c r="N37" s="19"/>
      <c r="O37" s="24"/>
      <c r="P37" s="19"/>
      <c r="Q37" s="19"/>
      <c r="R37" s="25"/>
      <c r="S37" s="26" t="str">
        <f aca="false">IF(R37="","",(R37-D37)/D37)</f>
        <v/>
      </c>
      <c r="T37" s="24"/>
    </row>
    <row r="38" customFormat="false" ht="15" hidden="false" customHeight="false" outlineLevel="0" collapsed="false">
      <c r="A38" s="19"/>
      <c r="B38" s="20"/>
      <c r="C38" s="19"/>
      <c r="D38" s="21"/>
      <c r="E38" s="19"/>
      <c r="F38" s="22"/>
      <c r="G38" s="23"/>
      <c r="H38" s="19"/>
      <c r="I38" s="19"/>
      <c r="J38" s="19"/>
      <c r="K38" s="19"/>
      <c r="L38" s="19"/>
      <c r="M38" s="22"/>
      <c r="N38" s="19"/>
      <c r="O38" s="24"/>
      <c r="P38" s="19"/>
      <c r="Q38" s="19"/>
      <c r="R38" s="25"/>
      <c r="S38" s="26" t="str">
        <f aca="false">IF(R38="","",(R38-D38)/D38)</f>
        <v/>
      </c>
      <c r="T38" s="24"/>
    </row>
    <row r="39" customFormat="false" ht="15" hidden="false" customHeight="false" outlineLevel="0" collapsed="false">
      <c r="A39" s="19"/>
      <c r="B39" s="20"/>
      <c r="C39" s="19"/>
      <c r="D39" s="21"/>
      <c r="E39" s="19"/>
      <c r="F39" s="22"/>
      <c r="G39" s="23"/>
      <c r="H39" s="19"/>
      <c r="I39" s="19"/>
      <c r="J39" s="19"/>
      <c r="K39" s="19"/>
      <c r="L39" s="19"/>
      <c r="M39" s="22"/>
      <c r="N39" s="19"/>
      <c r="O39" s="24"/>
      <c r="P39" s="19"/>
      <c r="Q39" s="19"/>
      <c r="R39" s="25"/>
      <c r="S39" s="26" t="str">
        <f aca="false">IF(R39="","",(R39-D39)/D39)</f>
        <v/>
      </c>
      <c r="T39" s="24"/>
    </row>
    <row r="40" customFormat="false" ht="15" hidden="false" customHeight="false" outlineLevel="0" collapsed="false">
      <c r="A40" s="19"/>
      <c r="B40" s="20"/>
      <c r="C40" s="19"/>
      <c r="D40" s="21"/>
      <c r="E40" s="19"/>
      <c r="F40" s="22"/>
      <c r="G40" s="23"/>
      <c r="H40" s="19"/>
      <c r="I40" s="19"/>
      <c r="J40" s="19"/>
      <c r="K40" s="19"/>
      <c r="L40" s="19"/>
      <c r="M40" s="22"/>
      <c r="N40" s="19"/>
      <c r="O40" s="24"/>
      <c r="P40" s="19"/>
      <c r="Q40" s="19"/>
      <c r="R40" s="25"/>
      <c r="S40" s="26" t="str">
        <f aca="false">IF(R40="","",(R40-D40)/D40)</f>
        <v/>
      </c>
      <c r="T40" s="24"/>
    </row>
    <row r="41" customFormat="false" ht="15" hidden="false" customHeight="false" outlineLevel="0" collapsed="false">
      <c r="A41" s="19"/>
      <c r="B41" s="20"/>
      <c r="C41" s="19"/>
      <c r="D41" s="21"/>
      <c r="E41" s="19"/>
      <c r="F41" s="22"/>
      <c r="G41" s="23"/>
      <c r="H41" s="19"/>
      <c r="I41" s="19"/>
      <c r="J41" s="19"/>
      <c r="K41" s="19"/>
      <c r="L41" s="19"/>
      <c r="M41" s="22"/>
      <c r="N41" s="19"/>
      <c r="O41" s="24"/>
      <c r="P41" s="19"/>
      <c r="Q41" s="19"/>
      <c r="R41" s="25"/>
      <c r="S41" s="26" t="str">
        <f aca="false">IF(R41="","",(R41-D41)/D41)</f>
        <v/>
      </c>
      <c r="T41" s="24"/>
    </row>
    <row r="42" customFormat="false" ht="15" hidden="false" customHeight="false" outlineLevel="0" collapsed="false">
      <c r="A42" s="19"/>
      <c r="B42" s="20"/>
      <c r="C42" s="19"/>
      <c r="D42" s="21"/>
      <c r="E42" s="19"/>
      <c r="F42" s="22"/>
      <c r="G42" s="23"/>
      <c r="H42" s="19"/>
      <c r="I42" s="19"/>
      <c r="J42" s="19"/>
      <c r="K42" s="19"/>
      <c r="L42" s="19"/>
      <c r="M42" s="22"/>
      <c r="N42" s="19"/>
      <c r="O42" s="24"/>
      <c r="P42" s="19"/>
      <c r="Q42" s="19"/>
      <c r="R42" s="25"/>
      <c r="S42" s="26" t="str">
        <f aca="false">IF(R42="","",(R42-D42)/D42)</f>
        <v/>
      </c>
      <c r="T42" s="24"/>
    </row>
    <row r="43" customFormat="false" ht="15" hidden="false" customHeight="false" outlineLevel="0" collapsed="false">
      <c r="A43" s="19"/>
      <c r="B43" s="20"/>
      <c r="C43" s="19"/>
      <c r="D43" s="21"/>
      <c r="E43" s="19"/>
      <c r="F43" s="22"/>
      <c r="G43" s="23"/>
      <c r="H43" s="19"/>
      <c r="I43" s="19"/>
      <c r="J43" s="19"/>
      <c r="K43" s="19"/>
      <c r="L43" s="19"/>
      <c r="M43" s="22"/>
      <c r="N43" s="19"/>
      <c r="O43" s="24"/>
      <c r="P43" s="19"/>
      <c r="Q43" s="19"/>
      <c r="R43" s="25"/>
      <c r="S43" s="26" t="str">
        <f aca="false">IF(R43="","",(R43-D43)/D43)</f>
        <v/>
      </c>
      <c r="T43" s="24"/>
    </row>
    <row r="44" customFormat="false" ht="15" hidden="false" customHeight="false" outlineLevel="0" collapsed="false">
      <c r="A44" s="19"/>
      <c r="B44" s="20"/>
      <c r="C44" s="19"/>
      <c r="D44" s="21"/>
      <c r="E44" s="19"/>
      <c r="F44" s="22"/>
      <c r="G44" s="23"/>
      <c r="H44" s="19"/>
      <c r="I44" s="19"/>
      <c r="J44" s="19"/>
      <c r="K44" s="19"/>
      <c r="L44" s="19"/>
      <c r="M44" s="22"/>
      <c r="N44" s="19"/>
      <c r="O44" s="24"/>
      <c r="P44" s="19"/>
      <c r="Q44" s="19"/>
      <c r="R44" s="25"/>
      <c r="S44" s="26" t="str">
        <f aca="false">IF(R44="","",(R44-D44)/D44)</f>
        <v/>
      </c>
      <c r="T44" s="24"/>
    </row>
    <row r="45" customFormat="false" ht="15" hidden="false" customHeight="false" outlineLevel="0" collapsed="false">
      <c r="A45" s="19"/>
      <c r="B45" s="20"/>
      <c r="C45" s="19"/>
      <c r="D45" s="21"/>
      <c r="E45" s="19"/>
      <c r="F45" s="22"/>
      <c r="G45" s="23"/>
      <c r="H45" s="19"/>
      <c r="I45" s="19"/>
      <c r="J45" s="19"/>
      <c r="K45" s="19"/>
      <c r="L45" s="19"/>
      <c r="M45" s="22"/>
      <c r="N45" s="19"/>
      <c r="O45" s="24"/>
      <c r="P45" s="19"/>
      <c r="Q45" s="19"/>
      <c r="R45" s="25"/>
      <c r="S45" s="26" t="str">
        <f aca="false">IF(R45="","",(R45-D45)/D45)</f>
        <v/>
      </c>
      <c r="T45" s="24"/>
    </row>
    <row r="46" customFormat="false" ht="15" hidden="false" customHeight="false" outlineLevel="0" collapsed="false">
      <c r="A46" s="19"/>
      <c r="B46" s="20"/>
      <c r="C46" s="19"/>
      <c r="D46" s="21"/>
      <c r="E46" s="19"/>
      <c r="F46" s="22"/>
      <c r="G46" s="23"/>
      <c r="H46" s="19"/>
      <c r="I46" s="19"/>
      <c r="J46" s="19"/>
      <c r="K46" s="19"/>
      <c r="L46" s="19"/>
      <c r="M46" s="22"/>
      <c r="N46" s="19"/>
      <c r="O46" s="24"/>
      <c r="P46" s="19"/>
      <c r="Q46" s="19"/>
      <c r="R46" s="25"/>
      <c r="S46" s="26" t="str">
        <f aca="false">IF(R46="","",(R46-D46)/D46)</f>
        <v/>
      </c>
      <c r="T46" s="24"/>
    </row>
    <row r="47" customFormat="false" ht="15" hidden="false" customHeight="false" outlineLevel="0" collapsed="false">
      <c r="A47" s="19"/>
      <c r="B47" s="20"/>
      <c r="C47" s="19"/>
      <c r="D47" s="21"/>
      <c r="E47" s="19"/>
      <c r="F47" s="22"/>
      <c r="G47" s="23"/>
      <c r="H47" s="19"/>
      <c r="I47" s="19"/>
      <c r="J47" s="19"/>
      <c r="K47" s="19"/>
      <c r="L47" s="19"/>
      <c r="M47" s="22"/>
      <c r="N47" s="19"/>
      <c r="O47" s="24"/>
      <c r="P47" s="19"/>
      <c r="Q47" s="19"/>
      <c r="R47" s="25"/>
      <c r="S47" s="26" t="str">
        <f aca="false">IF(R47="","",(R47-D47)/D47)</f>
        <v/>
      </c>
      <c r="T47" s="24"/>
    </row>
    <row r="48" customFormat="false" ht="15" hidden="false" customHeight="false" outlineLevel="0" collapsed="false">
      <c r="A48" s="19"/>
      <c r="B48" s="20"/>
      <c r="C48" s="19"/>
      <c r="D48" s="21"/>
      <c r="E48" s="19"/>
      <c r="F48" s="22"/>
      <c r="G48" s="23"/>
      <c r="H48" s="19"/>
      <c r="I48" s="19"/>
      <c r="J48" s="19"/>
      <c r="K48" s="19"/>
      <c r="L48" s="19"/>
      <c r="M48" s="22"/>
      <c r="N48" s="19"/>
      <c r="O48" s="24"/>
      <c r="P48" s="19"/>
      <c r="Q48" s="19"/>
      <c r="R48" s="25"/>
      <c r="S48" s="26" t="str">
        <f aca="false">IF(R48="","",(R48-D48)/D48)</f>
        <v/>
      </c>
      <c r="T48" s="24"/>
    </row>
    <row r="49" customFormat="false" ht="15" hidden="false" customHeight="false" outlineLevel="0" collapsed="false">
      <c r="A49" s="19"/>
      <c r="B49" s="20"/>
      <c r="C49" s="19"/>
      <c r="D49" s="21"/>
      <c r="E49" s="19"/>
      <c r="F49" s="22"/>
      <c r="G49" s="23"/>
      <c r="H49" s="19"/>
      <c r="I49" s="19"/>
      <c r="J49" s="19"/>
      <c r="K49" s="19"/>
      <c r="L49" s="19"/>
      <c r="M49" s="22"/>
      <c r="N49" s="19"/>
      <c r="O49" s="24"/>
      <c r="P49" s="19"/>
      <c r="Q49" s="19"/>
      <c r="R49" s="25"/>
      <c r="S49" s="26" t="str">
        <f aca="false">IF(R49="","",(R49-D49)/D49)</f>
        <v/>
      </c>
      <c r="T49" s="24"/>
    </row>
    <row r="50" customFormat="false" ht="15" hidden="false" customHeight="false" outlineLevel="0" collapsed="false">
      <c r="A50" s="19"/>
      <c r="B50" s="20"/>
      <c r="C50" s="19"/>
      <c r="D50" s="21"/>
      <c r="E50" s="19"/>
      <c r="F50" s="22"/>
      <c r="G50" s="23"/>
      <c r="H50" s="19"/>
      <c r="I50" s="19"/>
      <c r="J50" s="19"/>
      <c r="K50" s="19"/>
      <c r="L50" s="19"/>
      <c r="M50" s="22"/>
      <c r="N50" s="19"/>
      <c r="O50" s="24"/>
      <c r="P50" s="19"/>
      <c r="Q50" s="19"/>
      <c r="R50" s="25"/>
      <c r="S50" s="26" t="str">
        <f aca="false">IF(R50="","",(R50-D50)/D50)</f>
        <v/>
      </c>
      <c r="T50" s="24"/>
    </row>
    <row r="51" customFormat="false" ht="15" hidden="false" customHeight="false" outlineLevel="0" collapsed="false">
      <c r="A51" s="19"/>
      <c r="B51" s="20"/>
      <c r="C51" s="19"/>
      <c r="D51" s="21"/>
      <c r="E51" s="19"/>
      <c r="F51" s="22"/>
      <c r="G51" s="23"/>
      <c r="H51" s="19"/>
      <c r="I51" s="19"/>
      <c r="J51" s="19"/>
      <c r="K51" s="19"/>
      <c r="L51" s="19"/>
      <c r="M51" s="22"/>
      <c r="N51" s="19"/>
      <c r="O51" s="24"/>
      <c r="P51" s="19"/>
      <c r="Q51" s="19"/>
      <c r="R51" s="25"/>
      <c r="S51" s="26" t="str">
        <f aca="false">IF(R51="","",(R51-D51)/D51)</f>
        <v/>
      </c>
      <c r="T51" s="24"/>
    </row>
    <row r="52" customFormat="false" ht="15" hidden="false" customHeight="false" outlineLevel="0" collapsed="false">
      <c r="A52" s="19"/>
      <c r="B52" s="20"/>
      <c r="C52" s="19"/>
      <c r="D52" s="21"/>
      <c r="E52" s="19"/>
      <c r="F52" s="22"/>
      <c r="G52" s="23"/>
      <c r="H52" s="19"/>
      <c r="I52" s="19"/>
      <c r="J52" s="19"/>
      <c r="K52" s="19"/>
      <c r="L52" s="19"/>
      <c r="M52" s="22"/>
      <c r="N52" s="19"/>
      <c r="O52" s="24"/>
      <c r="P52" s="19"/>
      <c r="Q52" s="19"/>
      <c r="R52" s="25"/>
      <c r="S52" s="26" t="str">
        <f aca="false">IF(R52="","",(R52-D52)/D52)</f>
        <v/>
      </c>
      <c r="T52" s="24"/>
    </row>
    <row r="53" customFormat="false" ht="15" hidden="false" customHeight="false" outlineLevel="0" collapsed="false">
      <c r="A53" s="19"/>
      <c r="B53" s="20"/>
      <c r="C53" s="19"/>
      <c r="D53" s="21"/>
      <c r="E53" s="19"/>
      <c r="F53" s="22"/>
      <c r="G53" s="23"/>
      <c r="H53" s="19"/>
      <c r="I53" s="19"/>
      <c r="J53" s="19"/>
      <c r="K53" s="19"/>
      <c r="L53" s="19"/>
      <c r="M53" s="22"/>
      <c r="N53" s="19"/>
      <c r="O53" s="24"/>
      <c r="P53" s="19"/>
      <c r="Q53" s="19"/>
      <c r="R53" s="25"/>
      <c r="S53" s="26" t="str">
        <f aca="false">IF(R53="","",(R53-D53)/D53)</f>
        <v/>
      </c>
      <c r="T53" s="24"/>
    </row>
    <row r="54" customFormat="false" ht="15" hidden="false" customHeight="false" outlineLevel="0" collapsed="false">
      <c r="A54" s="19"/>
      <c r="B54" s="20"/>
      <c r="C54" s="19"/>
      <c r="D54" s="21"/>
      <c r="E54" s="19"/>
      <c r="F54" s="22"/>
      <c r="G54" s="23"/>
      <c r="H54" s="19"/>
      <c r="I54" s="19"/>
      <c r="J54" s="19"/>
      <c r="K54" s="19"/>
      <c r="L54" s="19"/>
      <c r="M54" s="22"/>
      <c r="N54" s="19"/>
      <c r="O54" s="24"/>
      <c r="P54" s="19"/>
      <c r="Q54" s="19"/>
      <c r="R54" s="25"/>
      <c r="S54" s="26" t="str">
        <f aca="false">IF(R54="","",(R54-D54)/D54)</f>
        <v/>
      </c>
      <c r="T54" s="24"/>
    </row>
    <row r="55" customFormat="false" ht="15" hidden="false" customHeight="false" outlineLevel="0" collapsed="false">
      <c r="A55" s="19"/>
      <c r="B55" s="20"/>
      <c r="C55" s="19"/>
      <c r="D55" s="21"/>
      <c r="E55" s="19"/>
      <c r="F55" s="22"/>
      <c r="G55" s="23"/>
      <c r="H55" s="19"/>
      <c r="I55" s="19"/>
      <c r="J55" s="19"/>
      <c r="K55" s="19"/>
      <c r="L55" s="19"/>
      <c r="M55" s="22"/>
      <c r="N55" s="19"/>
      <c r="O55" s="24"/>
      <c r="P55" s="19"/>
      <c r="Q55" s="19"/>
      <c r="R55" s="25"/>
      <c r="S55" s="26" t="str">
        <f aca="false">IF(R55="","",(R55-D55)/D55)</f>
        <v/>
      </c>
      <c r="T55" s="24"/>
    </row>
    <row r="56" customFormat="false" ht="15" hidden="false" customHeight="false" outlineLevel="0" collapsed="false">
      <c r="A56" s="19"/>
      <c r="B56" s="20"/>
      <c r="C56" s="19"/>
      <c r="D56" s="21"/>
      <c r="E56" s="19"/>
      <c r="F56" s="22"/>
      <c r="G56" s="23"/>
      <c r="H56" s="19"/>
      <c r="I56" s="19"/>
      <c r="J56" s="19"/>
      <c r="K56" s="19"/>
      <c r="L56" s="19"/>
      <c r="M56" s="22"/>
      <c r="N56" s="19"/>
      <c r="O56" s="24"/>
      <c r="P56" s="19"/>
      <c r="Q56" s="19"/>
      <c r="R56" s="25"/>
      <c r="S56" s="26" t="str">
        <f aca="false">IF(R56="","",(R56-D56)/D56)</f>
        <v/>
      </c>
      <c r="T56" s="24"/>
    </row>
    <row r="57" customFormat="false" ht="15" hidden="false" customHeight="false" outlineLevel="0" collapsed="false">
      <c r="A57" s="19"/>
      <c r="B57" s="20"/>
      <c r="C57" s="19"/>
      <c r="D57" s="21"/>
      <c r="E57" s="19"/>
      <c r="F57" s="22"/>
      <c r="G57" s="23"/>
      <c r="H57" s="19"/>
      <c r="I57" s="19"/>
      <c r="J57" s="19"/>
      <c r="K57" s="19"/>
      <c r="L57" s="19"/>
      <c r="M57" s="22"/>
      <c r="N57" s="19"/>
      <c r="O57" s="24"/>
      <c r="P57" s="19"/>
      <c r="Q57" s="19"/>
      <c r="R57" s="25"/>
      <c r="S57" s="26" t="str">
        <f aca="false">IF(R57="","",(R57-D57)/D57)</f>
        <v/>
      </c>
      <c r="T57" s="24"/>
    </row>
    <row r="58" customFormat="false" ht="15" hidden="false" customHeight="false" outlineLevel="0" collapsed="false">
      <c r="A58" s="19"/>
      <c r="B58" s="20"/>
      <c r="C58" s="19"/>
      <c r="D58" s="21"/>
      <c r="E58" s="19"/>
      <c r="F58" s="22"/>
      <c r="G58" s="23"/>
      <c r="H58" s="19"/>
      <c r="I58" s="19"/>
      <c r="J58" s="19"/>
      <c r="K58" s="19"/>
      <c r="L58" s="19"/>
      <c r="M58" s="22"/>
      <c r="N58" s="19"/>
      <c r="O58" s="24"/>
      <c r="P58" s="19"/>
      <c r="Q58" s="19"/>
      <c r="R58" s="25"/>
      <c r="S58" s="26" t="str">
        <f aca="false">IF(R58="","",(R58-D58)/D58)</f>
        <v/>
      </c>
      <c r="T58" s="24"/>
    </row>
    <row r="59" customFormat="false" ht="15" hidden="false" customHeight="false" outlineLevel="0" collapsed="false">
      <c r="A59" s="19"/>
      <c r="B59" s="20"/>
      <c r="C59" s="19"/>
      <c r="D59" s="21"/>
      <c r="E59" s="19"/>
      <c r="F59" s="22"/>
      <c r="G59" s="23"/>
      <c r="H59" s="19"/>
      <c r="I59" s="19"/>
      <c r="J59" s="19"/>
      <c r="K59" s="19"/>
      <c r="L59" s="19"/>
      <c r="M59" s="22"/>
      <c r="N59" s="19"/>
      <c r="O59" s="24"/>
      <c r="P59" s="19"/>
      <c r="Q59" s="19"/>
      <c r="R59" s="25"/>
      <c r="S59" s="26" t="str">
        <f aca="false">IF(R59="","",(R59-D59)/D59)</f>
        <v/>
      </c>
      <c r="T59" s="24"/>
    </row>
    <row r="60" customFormat="false" ht="15" hidden="false" customHeight="false" outlineLevel="0" collapsed="false">
      <c r="A60" s="19"/>
      <c r="B60" s="20"/>
      <c r="C60" s="19"/>
      <c r="D60" s="21"/>
      <c r="E60" s="19"/>
      <c r="F60" s="22"/>
      <c r="G60" s="23"/>
      <c r="H60" s="19"/>
      <c r="I60" s="19"/>
      <c r="J60" s="19"/>
      <c r="K60" s="19"/>
      <c r="L60" s="19"/>
      <c r="M60" s="22"/>
      <c r="N60" s="19"/>
      <c r="O60" s="24"/>
      <c r="P60" s="19"/>
      <c r="Q60" s="19"/>
      <c r="R60" s="25"/>
      <c r="S60" s="26" t="str">
        <f aca="false">IF(R60="","",(R60-D60)/D60)</f>
        <v/>
      </c>
      <c r="T60" s="24"/>
    </row>
    <row r="61" customFormat="false" ht="15" hidden="false" customHeight="false" outlineLevel="0" collapsed="false">
      <c r="A61" s="19"/>
      <c r="B61" s="20"/>
      <c r="C61" s="19"/>
      <c r="D61" s="21"/>
      <c r="E61" s="19"/>
      <c r="F61" s="22"/>
      <c r="G61" s="23"/>
      <c r="H61" s="19"/>
      <c r="I61" s="19"/>
      <c r="J61" s="19"/>
      <c r="K61" s="19"/>
      <c r="L61" s="19"/>
      <c r="M61" s="22"/>
      <c r="N61" s="19"/>
      <c r="O61" s="24"/>
      <c r="P61" s="19"/>
      <c r="Q61" s="19"/>
      <c r="R61" s="25"/>
      <c r="S61" s="26" t="str">
        <f aca="false">IF(R61="","",(R61-D61)/D61)</f>
        <v/>
      </c>
      <c r="T61" s="24"/>
    </row>
    <row r="62" customFormat="false" ht="15" hidden="false" customHeight="false" outlineLevel="0" collapsed="false">
      <c r="A62" s="19"/>
      <c r="B62" s="20"/>
      <c r="C62" s="19"/>
      <c r="D62" s="21"/>
      <c r="E62" s="19"/>
      <c r="F62" s="22"/>
      <c r="G62" s="23"/>
      <c r="H62" s="19"/>
      <c r="I62" s="19"/>
      <c r="J62" s="19"/>
      <c r="K62" s="19"/>
      <c r="L62" s="19"/>
      <c r="M62" s="22"/>
      <c r="N62" s="19"/>
      <c r="O62" s="24"/>
      <c r="P62" s="19"/>
      <c r="Q62" s="19"/>
      <c r="R62" s="25"/>
      <c r="S62" s="26" t="str">
        <f aca="false">IF(R62="","",(R62-D62)/D62)</f>
        <v/>
      </c>
      <c r="T62" s="24"/>
    </row>
    <row r="63" customFormat="false" ht="15" hidden="false" customHeight="false" outlineLevel="0" collapsed="false">
      <c r="A63" s="19"/>
      <c r="B63" s="20"/>
      <c r="C63" s="19"/>
      <c r="D63" s="21"/>
      <c r="E63" s="19"/>
      <c r="F63" s="22"/>
      <c r="G63" s="23"/>
      <c r="H63" s="19"/>
      <c r="I63" s="19"/>
      <c r="J63" s="19"/>
      <c r="K63" s="19"/>
      <c r="L63" s="19"/>
      <c r="M63" s="22"/>
      <c r="N63" s="19"/>
      <c r="O63" s="24"/>
      <c r="P63" s="19"/>
      <c r="Q63" s="19"/>
      <c r="R63" s="25"/>
      <c r="S63" s="26" t="str">
        <f aca="false">IF(R63="","",(R63-D63)/D63)</f>
        <v/>
      </c>
      <c r="T63" s="24"/>
    </row>
    <row r="64" customFormat="false" ht="15" hidden="false" customHeight="false" outlineLevel="0" collapsed="false">
      <c r="A64" s="19"/>
      <c r="B64" s="20"/>
      <c r="C64" s="19"/>
      <c r="D64" s="21"/>
      <c r="E64" s="19"/>
      <c r="F64" s="22"/>
      <c r="G64" s="23"/>
      <c r="H64" s="19"/>
      <c r="I64" s="19"/>
      <c r="J64" s="19"/>
      <c r="K64" s="19"/>
      <c r="L64" s="19"/>
      <c r="M64" s="22"/>
      <c r="N64" s="19"/>
      <c r="O64" s="24"/>
      <c r="P64" s="19"/>
      <c r="Q64" s="19"/>
      <c r="R64" s="25"/>
      <c r="S64" s="26" t="str">
        <f aca="false">IF(R64="","",(R64-D64)/D64)</f>
        <v/>
      </c>
      <c r="T64" s="24"/>
    </row>
    <row r="65" customFormat="false" ht="15" hidden="false" customHeight="false" outlineLevel="0" collapsed="false">
      <c r="A65" s="19"/>
      <c r="B65" s="20"/>
      <c r="C65" s="19"/>
      <c r="D65" s="21"/>
      <c r="E65" s="19"/>
      <c r="F65" s="22"/>
      <c r="G65" s="23"/>
      <c r="H65" s="19"/>
      <c r="I65" s="19"/>
      <c r="J65" s="19"/>
      <c r="K65" s="19"/>
      <c r="L65" s="19"/>
      <c r="M65" s="22"/>
      <c r="N65" s="19"/>
      <c r="O65" s="24"/>
      <c r="P65" s="19"/>
      <c r="Q65" s="19"/>
      <c r="R65" s="25"/>
      <c r="S65" s="26" t="str">
        <f aca="false">IF(R65="","",(R65-D65)/D65)</f>
        <v/>
      </c>
      <c r="T65" s="24"/>
    </row>
    <row r="66" customFormat="false" ht="15" hidden="false" customHeight="false" outlineLevel="0" collapsed="false">
      <c r="A66" s="19"/>
      <c r="B66" s="20"/>
      <c r="C66" s="19"/>
      <c r="D66" s="21"/>
      <c r="E66" s="19"/>
      <c r="F66" s="22"/>
      <c r="G66" s="23"/>
      <c r="H66" s="19"/>
      <c r="I66" s="19"/>
      <c r="J66" s="19"/>
      <c r="K66" s="19"/>
      <c r="L66" s="19"/>
      <c r="M66" s="22"/>
      <c r="N66" s="19"/>
      <c r="O66" s="24"/>
      <c r="P66" s="19"/>
      <c r="Q66" s="19"/>
      <c r="R66" s="25"/>
      <c r="S66" s="26" t="str">
        <f aca="false">IF(R66="","",(R66-D66)/D66)</f>
        <v/>
      </c>
      <c r="T66" s="24"/>
    </row>
    <row r="67" customFormat="false" ht="15" hidden="false" customHeight="false" outlineLevel="0" collapsed="false">
      <c r="A67" s="19"/>
      <c r="B67" s="20"/>
      <c r="C67" s="19"/>
      <c r="D67" s="21"/>
      <c r="E67" s="19"/>
      <c r="F67" s="22"/>
      <c r="G67" s="23"/>
      <c r="H67" s="19"/>
      <c r="I67" s="19"/>
      <c r="J67" s="19"/>
      <c r="K67" s="19"/>
      <c r="L67" s="19"/>
      <c r="M67" s="22"/>
      <c r="N67" s="19"/>
      <c r="O67" s="24"/>
      <c r="P67" s="19"/>
      <c r="Q67" s="19"/>
      <c r="R67" s="25"/>
      <c r="S67" s="26" t="str">
        <f aca="false">IF(R67="","",(R67-D67)/D67)</f>
        <v/>
      </c>
      <c r="T67" s="24"/>
    </row>
    <row r="68" customFormat="false" ht="15" hidden="false" customHeight="false" outlineLevel="0" collapsed="false">
      <c r="A68" s="19"/>
      <c r="B68" s="20"/>
      <c r="C68" s="19"/>
      <c r="D68" s="21"/>
      <c r="E68" s="19"/>
      <c r="F68" s="22"/>
      <c r="G68" s="23"/>
      <c r="H68" s="19"/>
      <c r="I68" s="19"/>
      <c r="J68" s="19"/>
      <c r="K68" s="19"/>
      <c r="L68" s="19"/>
      <c r="M68" s="22"/>
      <c r="N68" s="19"/>
      <c r="O68" s="24"/>
      <c r="P68" s="19"/>
      <c r="Q68" s="19"/>
      <c r="R68" s="25"/>
      <c r="S68" s="26" t="str">
        <f aca="false">IF(R68="","",(R68-D68)/D68)</f>
        <v/>
      </c>
      <c r="T68" s="24"/>
    </row>
    <row r="69" customFormat="false" ht="15" hidden="false" customHeight="false" outlineLevel="0" collapsed="false">
      <c r="A69" s="19"/>
      <c r="B69" s="20"/>
      <c r="C69" s="19"/>
      <c r="D69" s="21"/>
      <c r="E69" s="19"/>
      <c r="F69" s="22"/>
      <c r="G69" s="23"/>
      <c r="H69" s="19"/>
      <c r="I69" s="19"/>
      <c r="J69" s="19"/>
      <c r="K69" s="19"/>
      <c r="L69" s="19"/>
      <c r="M69" s="22"/>
      <c r="N69" s="19"/>
      <c r="O69" s="24"/>
      <c r="P69" s="19"/>
      <c r="Q69" s="19"/>
      <c r="R69" s="25"/>
      <c r="S69" s="26" t="str">
        <f aca="false">IF(R69="","",(R69-D69)/D69)</f>
        <v/>
      </c>
      <c r="T69" s="24"/>
    </row>
    <row r="70" customFormat="false" ht="15" hidden="false" customHeight="false" outlineLevel="0" collapsed="false">
      <c r="A70" s="19"/>
      <c r="B70" s="20"/>
      <c r="C70" s="19"/>
      <c r="D70" s="21"/>
      <c r="E70" s="19"/>
      <c r="F70" s="22"/>
      <c r="G70" s="23"/>
      <c r="H70" s="19"/>
      <c r="I70" s="19"/>
      <c r="J70" s="19"/>
      <c r="K70" s="19"/>
      <c r="L70" s="19"/>
      <c r="M70" s="22"/>
      <c r="N70" s="19"/>
      <c r="O70" s="24"/>
      <c r="P70" s="19"/>
      <c r="Q70" s="19"/>
      <c r="R70" s="25"/>
      <c r="S70" s="26" t="str">
        <f aca="false">IF(R70="","",(R70-D70)/D70)</f>
        <v/>
      </c>
      <c r="T70" s="24"/>
    </row>
    <row r="71" customFormat="false" ht="15" hidden="false" customHeight="false" outlineLevel="0" collapsed="false">
      <c r="A71" s="19"/>
      <c r="B71" s="20"/>
      <c r="C71" s="19"/>
      <c r="D71" s="21"/>
      <c r="E71" s="19"/>
      <c r="F71" s="22"/>
      <c r="G71" s="23"/>
      <c r="H71" s="19"/>
      <c r="I71" s="19"/>
      <c r="J71" s="19"/>
      <c r="K71" s="19"/>
      <c r="L71" s="19"/>
      <c r="M71" s="22"/>
      <c r="N71" s="19"/>
      <c r="O71" s="24"/>
      <c r="P71" s="19"/>
      <c r="Q71" s="19"/>
      <c r="R71" s="25"/>
      <c r="S71" s="26" t="str">
        <f aca="false">IF(R71="","",(R71-D71)/D71)</f>
        <v/>
      </c>
      <c r="T71" s="24"/>
    </row>
    <row r="72" customFormat="false" ht="15" hidden="false" customHeight="false" outlineLevel="0" collapsed="false">
      <c r="A72" s="19"/>
      <c r="B72" s="20"/>
      <c r="C72" s="19"/>
      <c r="D72" s="21"/>
      <c r="E72" s="19"/>
      <c r="F72" s="22"/>
      <c r="G72" s="23"/>
      <c r="H72" s="19"/>
      <c r="I72" s="19"/>
      <c r="J72" s="19"/>
      <c r="K72" s="19"/>
      <c r="L72" s="19"/>
      <c r="M72" s="22"/>
      <c r="N72" s="19"/>
      <c r="O72" s="24"/>
      <c r="P72" s="19"/>
      <c r="Q72" s="19"/>
      <c r="R72" s="25"/>
      <c r="S72" s="26" t="str">
        <f aca="false">IF(R72="","",(R72-D72)/D72)</f>
        <v/>
      </c>
      <c r="T72" s="24"/>
    </row>
    <row r="73" customFormat="false" ht="15" hidden="false" customHeight="false" outlineLevel="0" collapsed="false">
      <c r="A73" s="19"/>
      <c r="B73" s="20"/>
      <c r="C73" s="19"/>
      <c r="D73" s="21"/>
      <c r="E73" s="19"/>
      <c r="F73" s="22"/>
      <c r="G73" s="23"/>
      <c r="H73" s="19"/>
      <c r="I73" s="19"/>
      <c r="J73" s="19"/>
      <c r="K73" s="19"/>
      <c r="L73" s="19"/>
      <c r="M73" s="22"/>
      <c r="N73" s="19"/>
      <c r="O73" s="24"/>
      <c r="P73" s="19"/>
      <c r="Q73" s="19"/>
      <c r="R73" s="25"/>
      <c r="S73" s="26" t="str">
        <f aca="false">IF(R73="","",(R73-D73)/D73)</f>
        <v/>
      </c>
      <c r="T73" s="24"/>
    </row>
    <row r="74" customFormat="false" ht="15" hidden="false" customHeight="false" outlineLevel="0" collapsed="false">
      <c r="A74" s="19"/>
      <c r="B74" s="20"/>
      <c r="C74" s="19"/>
      <c r="D74" s="21"/>
      <c r="E74" s="19"/>
      <c r="F74" s="22"/>
      <c r="G74" s="23"/>
      <c r="H74" s="19"/>
      <c r="I74" s="19"/>
      <c r="J74" s="19"/>
      <c r="K74" s="19"/>
      <c r="L74" s="19"/>
      <c r="M74" s="22"/>
      <c r="N74" s="19"/>
      <c r="O74" s="24"/>
      <c r="P74" s="19"/>
      <c r="Q74" s="19"/>
      <c r="R74" s="25"/>
      <c r="S74" s="26" t="str">
        <f aca="false">IF(R74="","",(R74-D74)/D74)</f>
        <v/>
      </c>
      <c r="T74" s="24"/>
    </row>
    <row r="75" customFormat="false" ht="15" hidden="false" customHeight="false" outlineLevel="0" collapsed="false">
      <c r="A75" s="19"/>
      <c r="B75" s="20"/>
      <c r="C75" s="19"/>
      <c r="D75" s="21"/>
      <c r="E75" s="19"/>
      <c r="F75" s="22"/>
      <c r="G75" s="23"/>
      <c r="H75" s="19"/>
      <c r="I75" s="19"/>
      <c r="J75" s="19"/>
      <c r="K75" s="19"/>
      <c r="L75" s="19"/>
      <c r="M75" s="22"/>
      <c r="N75" s="19"/>
      <c r="O75" s="24"/>
      <c r="P75" s="19"/>
      <c r="Q75" s="19"/>
      <c r="R75" s="25"/>
      <c r="S75" s="26" t="str">
        <f aca="false">IF(R75="","",(R75-D75)/D75)</f>
        <v/>
      </c>
      <c r="T75" s="24"/>
    </row>
    <row r="76" customFormat="false" ht="15" hidden="false" customHeight="false" outlineLevel="0" collapsed="false">
      <c r="A76" s="19"/>
      <c r="B76" s="20"/>
      <c r="C76" s="19"/>
      <c r="D76" s="21"/>
      <c r="E76" s="19"/>
      <c r="F76" s="22"/>
      <c r="G76" s="23"/>
      <c r="H76" s="19"/>
      <c r="I76" s="19"/>
      <c r="J76" s="19"/>
      <c r="K76" s="19"/>
      <c r="L76" s="19"/>
      <c r="M76" s="22"/>
      <c r="N76" s="19"/>
      <c r="O76" s="24"/>
      <c r="P76" s="19"/>
      <c r="Q76" s="19"/>
      <c r="R76" s="25"/>
      <c r="S76" s="26" t="str">
        <f aca="false">IF(R76="","",(R76-D76)/D76)</f>
        <v/>
      </c>
      <c r="T76" s="24"/>
    </row>
    <row r="77" customFormat="false" ht="15" hidden="false" customHeight="false" outlineLevel="0" collapsed="false">
      <c r="A77" s="19"/>
      <c r="B77" s="20"/>
      <c r="C77" s="19"/>
      <c r="D77" s="21"/>
      <c r="E77" s="19"/>
      <c r="F77" s="22"/>
      <c r="G77" s="23"/>
      <c r="H77" s="19"/>
      <c r="I77" s="19"/>
      <c r="J77" s="19"/>
      <c r="K77" s="19"/>
      <c r="L77" s="19"/>
      <c r="M77" s="22"/>
      <c r="N77" s="19"/>
      <c r="O77" s="24"/>
      <c r="P77" s="19"/>
      <c r="Q77" s="19"/>
      <c r="R77" s="25"/>
      <c r="S77" s="26" t="str">
        <f aca="false">IF(R77="","",(R77-D77)/D77)</f>
        <v/>
      </c>
      <c r="T77" s="24"/>
    </row>
    <row r="78" customFormat="false" ht="15" hidden="false" customHeight="false" outlineLevel="0" collapsed="false">
      <c r="A78" s="19"/>
      <c r="B78" s="20"/>
      <c r="C78" s="19"/>
      <c r="D78" s="21"/>
      <c r="E78" s="19"/>
      <c r="F78" s="22"/>
      <c r="G78" s="23"/>
      <c r="H78" s="19"/>
      <c r="I78" s="19"/>
      <c r="J78" s="19"/>
      <c r="K78" s="19"/>
      <c r="L78" s="19"/>
      <c r="M78" s="22"/>
      <c r="N78" s="19"/>
      <c r="O78" s="24"/>
      <c r="P78" s="19"/>
      <c r="Q78" s="19"/>
      <c r="R78" s="25"/>
      <c r="S78" s="26" t="str">
        <f aca="false">IF(R78="","",(R78-D78)/D78)</f>
        <v/>
      </c>
      <c r="T78" s="24"/>
    </row>
    <row r="79" customFormat="false" ht="15" hidden="false" customHeight="false" outlineLevel="0" collapsed="false">
      <c r="A79" s="19"/>
      <c r="B79" s="20"/>
      <c r="C79" s="19"/>
      <c r="D79" s="21"/>
      <c r="E79" s="19"/>
      <c r="F79" s="22"/>
      <c r="G79" s="23"/>
      <c r="H79" s="19"/>
      <c r="I79" s="19"/>
      <c r="J79" s="19"/>
      <c r="K79" s="19"/>
      <c r="L79" s="19"/>
      <c r="M79" s="22"/>
      <c r="N79" s="19"/>
      <c r="O79" s="24"/>
      <c r="P79" s="19"/>
      <c r="Q79" s="19"/>
      <c r="R79" s="25"/>
      <c r="S79" s="26" t="str">
        <f aca="false">IF(R79="","",(R79-D79)/D79)</f>
        <v/>
      </c>
      <c r="T79" s="24"/>
    </row>
    <row r="80" customFormat="false" ht="15" hidden="false" customHeight="false" outlineLevel="0" collapsed="false">
      <c r="A80" s="19"/>
      <c r="B80" s="20"/>
      <c r="C80" s="19"/>
      <c r="D80" s="21"/>
      <c r="E80" s="19"/>
      <c r="F80" s="22"/>
      <c r="G80" s="23"/>
      <c r="H80" s="19"/>
      <c r="I80" s="19"/>
      <c r="J80" s="19"/>
      <c r="K80" s="19"/>
      <c r="L80" s="19"/>
      <c r="M80" s="22"/>
      <c r="N80" s="19"/>
      <c r="O80" s="24"/>
      <c r="P80" s="19"/>
      <c r="Q80" s="19"/>
      <c r="R80" s="25"/>
      <c r="S80" s="26" t="str">
        <f aca="false">IF(R80="","",(R80-D80)/D80)</f>
        <v/>
      </c>
      <c r="T80" s="24"/>
    </row>
    <row r="81" customFormat="false" ht="15" hidden="false" customHeight="false" outlineLevel="0" collapsed="false">
      <c r="A81" s="19"/>
      <c r="B81" s="20"/>
      <c r="C81" s="19"/>
      <c r="D81" s="21"/>
      <c r="E81" s="19"/>
      <c r="F81" s="22"/>
      <c r="G81" s="23"/>
      <c r="H81" s="19"/>
      <c r="I81" s="19"/>
      <c r="J81" s="19"/>
      <c r="K81" s="19"/>
      <c r="L81" s="19"/>
      <c r="M81" s="22"/>
      <c r="N81" s="19"/>
      <c r="O81" s="24"/>
      <c r="P81" s="19"/>
      <c r="Q81" s="19"/>
      <c r="R81" s="25"/>
      <c r="S81" s="26" t="str">
        <f aca="false">IF(R81="","",(R81-D81)/D81)</f>
        <v/>
      </c>
      <c r="T81" s="24"/>
    </row>
    <row r="82" customFormat="false" ht="15" hidden="false" customHeight="false" outlineLevel="0" collapsed="false">
      <c r="A82" s="19"/>
      <c r="B82" s="20"/>
      <c r="C82" s="19"/>
      <c r="D82" s="21"/>
      <c r="E82" s="19"/>
      <c r="F82" s="22"/>
      <c r="G82" s="23"/>
      <c r="H82" s="19"/>
      <c r="I82" s="19"/>
      <c r="J82" s="19"/>
      <c r="K82" s="19"/>
      <c r="L82" s="19"/>
      <c r="M82" s="22"/>
      <c r="N82" s="19"/>
      <c r="O82" s="24"/>
      <c r="P82" s="19"/>
      <c r="Q82" s="19"/>
      <c r="R82" s="25"/>
      <c r="S82" s="26" t="str">
        <f aca="false">IF(R82="","",(R82-D82)/D82)</f>
        <v/>
      </c>
      <c r="T82" s="24"/>
    </row>
    <row r="83" customFormat="false" ht="15" hidden="false" customHeight="false" outlineLevel="0" collapsed="false">
      <c r="A83" s="19"/>
      <c r="B83" s="20"/>
      <c r="C83" s="19"/>
      <c r="D83" s="21"/>
      <c r="E83" s="19"/>
      <c r="F83" s="22"/>
      <c r="G83" s="23"/>
      <c r="H83" s="19"/>
      <c r="I83" s="19"/>
      <c r="J83" s="19"/>
      <c r="K83" s="19"/>
      <c r="L83" s="19"/>
      <c r="M83" s="22"/>
      <c r="N83" s="19"/>
      <c r="O83" s="24"/>
      <c r="P83" s="19"/>
      <c r="Q83" s="19"/>
      <c r="R83" s="25"/>
      <c r="S83" s="26" t="str">
        <f aca="false">IF(R83="","",(R83-D83)/D83)</f>
        <v/>
      </c>
      <c r="T83" s="24"/>
    </row>
    <row r="84" customFormat="false" ht="15" hidden="false" customHeight="false" outlineLevel="0" collapsed="false">
      <c r="A84" s="19"/>
      <c r="B84" s="20"/>
      <c r="C84" s="19"/>
      <c r="D84" s="21"/>
      <c r="E84" s="19"/>
      <c r="F84" s="22"/>
      <c r="G84" s="23"/>
      <c r="H84" s="19"/>
      <c r="I84" s="19"/>
      <c r="J84" s="19"/>
      <c r="K84" s="19"/>
      <c r="L84" s="19"/>
      <c r="M84" s="22"/>
      <c r="N84" s="19"/>
      <c r="O84" s="24"/>
      <c r="P84" s="19"/>
      <c r="Q84" s="19"/>
      <c r="R84" s="25"/>
      <c r="S84" s="26" t="str">
        <f aca="false">IF(R84="","",(R84-D84)/D84)</f>
        <v/>
      </c>
      <c r="T84" s="24"/>
    </row>
    <row r="85" customFormat="false" ht="15" hidden="false" customHeight="false" outlineLevel="0" collapsed="false">
      <c r="A85" s="19"/>
      <c r="B85" s="20"/>
      <c r="C85" s="19"/>
      <c r="D85" s="21"/>
      <c r="E85" s="19"/>
      <c r="F85" s="22"/>
      <c r="G85" s="23"/>
      <c r="H85" s="19"/>
      <c r="I85" s="19"/>
      <c r="J85" s="19"/>
      <c r="K85" s="19"/>
      <c r="L85" s="19"/>
      <c r="M85" s="22"/>
      <c r="N85" s="19"/>
      <c r="O85" s="24"/>
      <c r="P85" s="19"/>
      <c r="Q85" s="19"/>
      <c r="R85" s="25"/>
      <c r="S85" s="26" t="str">
        <f aca="false">IF(R85="","",(R85-D85)/D85)</f>
        <v/>
      </c>
      <c r="T85" s="24"/>
    </row>
    <row r="86" customFormat="false" ht="15" hidden="false" customHeight="false" outlineLevel="0" collapsed="false">
      <c r="A86" s="19"/>
      <c r="B86" s="20"/>
      <c r="C86" s="19"/>
      <c r="D86" s="21"/>
      <c r="E86" s="19"/>
      <c r="F86" s="22"/>
      <c r="G86" s="23"/>
      <c r="H86" s="19"/>
      <c r="I86" s="19"/>
      <c r="J86" s="19"/>
      <c r="K86" s="19"/>
      <c r="L86" s="19"/>
      <c r="M86" s="22"/>
      <c r="N86" s="19"/>
      <c r="O86" s="24"/>
      <c r="P86" s="19"/>
      <c r="Q86" s="19"/>
      <c r="R86" s="25"/>
      <c r="S86" s="26" t="str">
        <f aca="false">IF(R86="","",(R86-D86)/D86)</f>
        <v/>
      </c>
      <c r="T86" s="24"/>
    </row>
    <row r="87" customFormat="false" ht="15" hidden="false" customHeight="false" outlineLevel="0" collapsed="false">
      <c r="A87" s="19"/>
      <c r="B87" s="20"/>
      <c r="C87" s="19"/>
      <c r="D87" s="21"/>
      <c r="E87" s="19"/>
      <c r="F87" s="22"/>
      <c r="G87" s="23"/>
      <c r="H87" s="19"/>
      <c r="I87" s="19"/>
      <c r="J87" s="19"/>
      <c r="K87" s="19"/>
      <c r="L87" s="19"/>
      <c r="M87" s="22"/>
      <c r="N87" s="19"/>
      <c r="O87" s="24"/>
      <c r="P87" s="19"/>
      <c r="Q87" s="19"/>
      <c r="R87" s="25"/>
      <c r="S87" s="26" t="str">
        <f aca="false">IF(R87="","",(R87-D87)/D87)</f>
        <v/>
      </c>
      <c r="T87" s="24"/>
    </row>
    <row r="88" customFormat="false" ht="15" hidden="false" customHeight="false" outlineLevel="0" collapsed="false">
      <c r="A88" s="19"/>
      <c r="B88" s="20"/>
      <c r="C88" s="19"/>
      <c r="D88" s="21"/>
      <c r="E88" s="19"/>
      <c r="F88" s="22"/>
      <c r="G88" s="23"/>
      <c r="H88" s="19"/>
      <c r="I88" s="19"/>
      <c r="J88" s="19"/>
      <c r="K88" s="19"/>
      <c r="L88" s="19"/>
      <c r="M88" s="22"/>
      <c r="N88" s="19"/>
      <c r="O88" s="24"/>
      <c r="P88" s="19"/>
      <c r="Q88" s="19"/>
      <c r="R88" s="25"/>
      <c r="S88" s="26" t="str">
        <f aca="false">IF(R88="","",(R88-D88)/D88)</f>
        <v/>
      </c>
      <c r="T88" s="24"/>
    </row>
    <row r="89" customFormat="false" ht="15" hidden="false" customHeight="false" outlineLevel="0" collapsed="false">
      <c r="A89" s="19"/>
      <c r="B89" s="20"/>
      <c r="C89" s="19"/>
      <c r="D89" s="21"/>
      <c r="E89" s="19"/>
      <c r="F89" s="22"/>
      <c r="G89" s="23"/>
      <c r="H89" s="19"/>
      <c r="I89" s="19"/>
      <c r="J89" s="19"/>
      <c r="K89" s="19"/>
      <c r="L89" s="19"/>
      <c r="M89" s="22"/>
      <c r="N89" s="19"/>
      <c r="O89" s="24"/>
      <c r="P89" s="19"/>
      <c r="Q89" s="19"/>
      <c r="R89" s="25"/>
      <c r="S89" s="26" t="str">
        <f aca="false">IF(R89="","",(R89-D89)/D89)</f>
        <v/>
      </c>
      <c r="T89" s="24"/>
    </row>
    <row r="90" customFormat="false" ht="15" hidden="false" customHeight="false" outlineLevel="0" collapsed="false">
      <c r="A90" s="19"/>
      <c r="B90" s="20"/>
      <c r="C90" s="19"/>
      <c r="D90" s="21"/>
      <c r="E90" s="19"/>
      <c r="F90" s="22"/>
      <c r="G90" s="23"/>
      <c r="H90" s="19"/>
      <c r="I90" s="19"/>
      <c r="J90" s="19"/>
      <c r="K90" s="19"/>
      <c r="L90" s="19"/>
      <c r="M90" s="22"/>
      <c r="N90" s="19"/>
      <c r="O90" s="24"/>
      <c r="P90" s="19"/>
      <c r="Q90" s="19"/>
      <c r="R90" s="25"/>
      <c r="S90" s="26" t="str">
        <f aca="false">IF(R90="","",(R90-D90)/D90)</f>
        <v/>
      </c>
      <c r="T90" s="24"/>
    </row>
    <row r="91" customFormat="false" ht="15" hidden="false" customHeight="false" outlineLevel="0" collapsed="false">
      <c r="A91" s="19"/>
      <c r="B91" s="20"/>
      <c r="C91" s="19"/>
      <c r="D91" s="21"/>
      <c r="E91" s="19"/>
      <c r="F91" s="22"/>
      <c r="G91" s="23"/>
      <c r="H91" s="19"/>
      <c r="I91" s="19"/>
      <c r="J91" s="19"/>
      <c r="K91" s="19"/>
      <c r="L91" s="19"/>
      <c r="M91" s="22"/>
      <c r="N91" s="19"/>
      <c r="O91" s="24"/>
      <c r="P91" s="19"/>
      <c r="Q91" s="19"/>
      <c r="R91" s="25"/>
      <c r="S91" s="26" t="str">
        <f aca="false">IF(R91="","",(R91-D91)/D91)</f>
        <v/>
      </c>
      <c r="T91" s="24"/>
    </row>
    <row r="92" customFormat="false" ht="15" hidden="false" customHeight="false" outlineLevel="0" collapsed="false">
      <c r="A92" s="19"/>
      <c r="B92" s="20"/>
      <c r="C92" s="19"/>
      <c r="D92" s="21"/>
      <c r="E92" s="19"/>
      <c r="F92" s="22"/>
      <c r="G92" s="23"/>
      <c r="H92" s="19"/>
      <c r="I92" s="19"/>
      <c r="J92" s="19"/>
      <c r="K92" s="19"/>
      <c r="L92" s="19"/>
      <c r="M92" s="22"/>
      <c r="N92" s="19"/>
      <c r="O92" s="24"/>
      <c r="P92" s="19"/>
      <c r="Q92" s="19"/>
      <c r="R92" s="25"/>
      <c r="S92" s="26" t="str">
        <f aca="false">IF(R92="","",(R92-D92)/D92)</f>
        <v/>
      </c>
      <c r="T92" s="24"/>
    </row>
    <row r="93" customFormat="false" ht="15" hidden="false" customHeight="false" outlineLevel="0" collapsed="false">
      <c r="A93" s="19"/>
      <c r="B93" s="20"/>
      <c r="C93" s="19"/>
      <c r="D93" s="21"/>
      <c r="E93" s="19"/>
      <c r="F93" s="22"/>
      <c r="G93" s="23"/>
      <c r="H93" s="19"/>
      <c r="I93" s="19"/>
      <c r="J93" s="19"/>
      <c r="K93" s="19"/>
      <c r="L93" s="19"/>
      <c r="M93" s="22"/>
      <c r="N93" s="19"/>
      <c r="O93" s="24"/>
      <c r="P93" s="19"/>
      <c r="Q93" s="19"/>
      <c r="R93" s="25"/>
      <c r="S93" s="26" t="str">
        <f aca="false">IF(R93="","",(R93-D93)/D93)</f>
        <v/>
      </c>
      <c r="T93" s="24"/>
    </row>
    <row r="94" customFormat="false" ht="15" hidden="false" customHeight="false" outlineLevel="0" collapsed="false">
      <c r="A94" s="19"/>
      <c r="B94" s="20"/>
      <c r="C94" s="19"/>
      <c r="D94" s="21"/>
      <c r="E94" s="19"/>
      <c r="F94" s="22"/>
      <c r="G94" s="23"/>
      <c r="H94" s="19"/>
      <c r="I94" s="19"/>
      <c r="J94" s="19"/>
      <c r="K94" s="19"/>
      <c r="L94" s="19"/>
      <c r="M94" s="22"/>
      <c r="N94" s="19"/>
      <c r="O94" s="24"/>
      <c r="P94" s="19"/>
      <c r="Q94" s="19"/>
      <c r="R94" s="25"/>
      <c r="S94" s="26" t="str">
        <f aca="false">IF(R94="","",(R94-D94)/D94)</f>
        <v/>
      </c>
      <c r="T94" s="24"/>
    </row>
    <row r="95" customFormat="false" ht="15" hidden="false" customHeight="false" outlineLevel="0" collapsed="false">
      <c r="A95" s="19"/>
      <c r="B95" s="20"/>
      <c r="C95" s="19"/>
      <c r="D95" s="21"/>
      <c r="E95" s="19"/>
      <c r="F95" s="22"/>
      <c r="G95" s="23"/>
      <c r="H95" s="19"/>
      <c r="I95" s="19"/>
      <c r="J95" s="19"/>
      <c r="K95" s="19"/>
      <c r="L95" s="19"/>
      <c r="M95" s="22"/>
      <c r="N95" s="19"/>
      <c r="O95" s="24"/>
      <c r="P95" s="19"/>
      <c r="Q95" s="19"/>
      <c r="R95" s="25"/>
      <c r="S95" s="26" t="str">
        <f aca="false">IF(R95="","",(R95-D95)/D95)</f>
        <v/>
      </c>
      <c r="T95" s="24"/>
    </row>
    <row r="96" customFormat="false" ht="15" hidden="false" customHeight="false" outlineLevel="0" collapsed="false">
      <c r="A96" s="19"/>
      <c r="B96" s="20"/>
      <c r="C96" s="19"/>
      <c r="D96" s="21"/>
      <c r="E96" s="19"/>
      <c r="F96" s="22"/>
      <c r="G96" s="23"/>
      <c r="H96" s="19"/>
      <c r="I96" s="19"/>
      <c r="J96" s="19"/>
      <c r="K96" s="19"/>
      <c r="L96" s="19"/>
      <c r="M96" s="22"/>
      <c r="N96" s="19"/>
      <c r="O96" s="24"/>
      <c r="P96" s="19"/>
      <c r="Q96" s="19"/>
      <c r="R96" s="25"/>
      <c r="S96" s="26" t="str">
        <f aca="false">IF(R96="","",(R96-D96)/D96)</f>
        <v/>
      </c>
      <c r="T96" s="24"/>
    </row>
    <row r="97" customFormat="false" ht="15" hidden="false" customHeight="false" outlineLevel="0" collapsed="false">
      <c r="A97" s="19"/>
      <c r="B97" s="20"/>
      <c r="C97" s="19"/>
      <c r="D97" s="21"/>
      <c r="E97" s="19"/>
      <c r="F97" s="22"/>
      <c r="G97" s="23"/>
      <c r="H97" s="19"/>
      <c r="I97" s="19"/>
      <c r="J97" s="19"/>
      <c r="K97" s="19"/>
      <c r="L97" s="19"/>
      <c r="M97" s="22"/>
      <c r="N97" s="19"/>
      <c r="O97" s="24"/>
      <c r="P97" s="19"/>
      <c r="Q97" s="19"/>
      <c r="R97" s="25"/>
      <c r="S97" s="26" t="str">
        <f aca="false">IF(R97="","",(R97-D97)/D97)</f>
        <v/>
      </c>
      <c r="T97" s="24"/>
    </row>
    <row r="98" customFormat="false" ht="15" hidden="false" customHeight="false" outlineLevel="0" collapsed="false">
      <c r="A98" s="19"/>
      <c r="B98" s="20"/>
      <c r="C98" s="19"/>
      <c r="D98" s="21"/>
      <c r="E98" s="19"/>
      <c r="F98" s="22"/>
      <c r="G98" s="23"/>
      <c r="H98" s="19"/>
      <c r="I98" s="19"/>
      <c r="J98" s="19"/>
      <c r="K98" s="19"/>
      <c r="L98" s="19"/>
      <c r="M98" s="22"/>
      <c r="N98" s="19"/>
      <c r="O98" s="24"/>
      <c r="P98" s="19"/>
      <c r="Q98" s="19"/>
      <c r="R98" s="25"/>
      <c r="S98" s="26" t="str">
        <f aca="false">IF(R98="","",(R98-D98)/D98)</f>
        <v/>
      </c>
      <c r="T98" s="24"/>
    </row>
    <row r="99" customFormat="false" ht="15" hidden="false" customHeight="false" outlineLevel="0" collapsed="false">
      <c r="A99" s="19"/>
      <c r="B99" s="20"/>
      <c r="C99" s="19"/>
      <c r="D99" s="21"/>
      <c r="E99" s="19"/>
      <c r="F99" s="22"/>
      <c r="G99" s="23"/>
      <c r="H99" s="19"/>
      <c r="I99" s="19"/>
      <c r="J99" s="19"/>
      <c r="K99" s="19"/>
      <c r="L99" s="19"/>
      <c r="M99" s="22"/>
      <c r="N99" s="19"/>
      <c r="O99" s="24"/>
      <c r="P99" s="19"/>
      <c r="Q99" s="19"/>
      <c r="R99" s="25"/>
      <c r="S99" s="26" t="str">
        <f aca="false">IF(R99="","",(R99-D99)/D99)</f>
        <v/>
      </c>
      <c r="T99" s="24"/>
    </row>
    <row r="100" customFormat="false" ht="15" hidden="false" customHeight="false" outlineLevel="0" collapsed="false">
      <c r="A100" s="19"/>
      <c r="B100" s="20"/>
      <c r="C100" s="19"/>
      <c r="D100" s="21"/>
      <c r="E100" s="19"/>
      <c r="F100" s="22"/>
      <c r="G100" s="23"/>
      <c r="H100" s="19"/>
      <c r="I100" s="19"/>
      <c r="J100" s="19"/>
      <c r="K100" s="19"/>
      <c r="L100" s="19"/>
      <c r="M100" s="22"/>
      <c r="N100" s="19"/>
      <c r="O100" s="24"/>
      <c r="P100" s="19"/>
      <c r="Q100" s="19"/>
      <c r="R100" s="25"/>
      <c r="S100" s="26" t="str">
        <f aca="false">IF(R100="","",(R100-D100)/D100)</f>
        <v/>
      </c>
      <c r="T100" s="24"/>
    </row>
    <row r="101" customFormat="false" ht="15" hidden="false" customHeight="false" outlineLevel="0" collapsed="false">
      <c r="A101" s="19"/>
      <c r="B101" s="20"/>
      <c r="C101" s="19"/>
      <c r="D101" s="21"/>
      <c r="E101" s="19"/>
      <c r="F101" s="22"/>
      <c r="G101" s="23"/>
      <c r="H101" s="19"/>
      <c r="I101" s="19"/>
      <c r="J101" s="19"/>
      <c r="K101" s="19"/>
      <c r="L101" s="19"/>
      <c r="M101" s="22"/>
      <c r="N101" s="19"/>
      <c r="O101" s="24"/>
      <c r="P101" s="19"/>
      <c r="Q101" s="19"/>
      <c r="R101" s="25"/>
      <c r="S101" s="26" t="str">
        <f aca="false">IF(R101="","",(R101-D101)/D101)</f>
        <v/>
      </c>
      <c r="T101" s="24"/>
    </row>
    <row r="102" customFormat="false" ht="15" hidden="false" customHeight="false" outlineLevel="0" collapsed="false">
      <c r="A102" s="19"/>
      <c r="B102" s="20"/>
      <c r="C102" s="19"/>
      <c r="D102" s="21"/>
      <c r="E102" s="19"/>
      <c r="F102" s="22"/>
      <c r="G102" s="23"/>
      <c r="H102" s="19"/>
      <c r="I102" s="19"/>
      <c r="J102" s="19"/>
      <c r="K102" s="19"/>
      <c r="L102" s="19"/>
      <c r="M102" s="22"/>
      <c r="N102" s="19"/>
      <c r="O102" s="24"/>
      <c r="P102" s="19"/>
      <c r="Q102" s="19"/>
      <c r="R102" s="25"/>
      <c r="S102" s="26" t="str">
        <f aca="false">IF(R102="","",(R102-D102)/D102)</f>
        <v/>
      </c>
      <c r="T102" s="24"/>
    </row>
    <row r="103" customFormat="false" ht="15" hidden="false" customHeight="false" outlineLevel="0" collapsed="false">
      <c r="A103" s="19"/>
      <c r="B103" s="20"/>
      <c r="C103" s="19"/>
      <c r="D103" s="21"/>
      <c r="E103" s="19"/>
      <c r="F103" s="22"/>
      <c r="G103" s="23"/>
      <c r="H103" s="19"/>
      <c r="I103" s="19"/>
      <c r="J103" s="19"/>
      <c r="K103" s="19"/>
      <c r="L103" s="19"/>
      <c r="M103" s="22"/>
      <c r="N103" s="19"/>
      <c r="O103" s="24"/>
      <c r="P103" s="19"/>
      <c r="Q103" s="19"/>
      <c r="R103" s="25"/>
      <c r="S103" s="26" t="str">
        <f aca="false">IF(R103="","",(R103-D103)/D103)</f>
        <v/>
      </c>
      <c r="T103" s="24"/>
    </row>
    <row r="104" customFormat="false" ht="15" hidden="false" customHeight="false" outlineLevel="0" collapsed="false">
      <c r="A104" s="19"/>
      <c r="B104" s="20"/>
      <c r="C104" s="19"/>
      <c r="D104" s="21"/>
      <c r="E104" s="19"/>
      <c r="F104" s="22"/>
      <c r="G104" s="23"/>
      <c r="H104" s="19"/>
      <c r="I104" s="19"/>
      <c r="J104" s="19"/>
      <c r="K104" s="19"/>
      <c r="L104" s="19"/>
      <c r="M104" s="22"/>
      <c r="N104" s="19"/>
      <c r="O104" s="24"/>
      <c r="P104" s="19"/>
      <c r="Q104" s="19"/>
      <c r="R104" s="25"/>
      <c r="S104" s="26" t="str">
        <f aca="false">IF(R104="","",(R104-D104)/D104)</f>
        <v/>
      </c>
      <c r="T104" s="24"/>
    </row>
    <row r="105" customFormat="false" ht="15" hidden="false" customHeight="false" outlineLevel="0" collapsed="false">
      <c r="A105" s="19"/>
      <c r="B105" s="20"/>
      <c r="C105" s="19"/>
      <c r="D105" s="21"/>
      <c r="E105" s="19"/>
      <c r="F105" s="22"/>
      <c r="G105" s="23"/>
      <c r="H105" s="19"/>
      <c r="I105" s="19"/>
      <c r="J105" s="19"/>
      <c r="K105" s="19"/>
      <c r="L105" s="19"/>
      <c r="M105" s="22"/>
      <c r="N105" s="19"/>
      <c r="O105" s="24"/>
      <c r="P105" s="19"/>
      <c r="Q105" s="19"/>
      <c r="R105" s="25"/>
      <c r="S105" s="26" t="str">
        <f aca="false">IF(R105="","",(R105-D105)/D105)</f>
        <v/>
      </c>
      <c r="T105" s="24"/>
    </row>
    <row r="106" customFormat="false" ht="15" hidden="false" customHeight="false" outlineLevel="0" collapsed="false">
      <c r="A106" s="19"/>
      <c r="B106" s="20"/>
      <c r="C106" s="19"/>
      <c r="D106" s="21"/>
      <c r="E106" s="19"/>
      <c r="F106" s="22"/>
      <c r="G106" s="23"/>
      <c r="H106" s="19"/>
      <c r="I106" s="19"/>
      <c r="J106" s="19"/>
      <c r="K106" s="19"/>
      <c r="L106" s="19"/>
      <c r="M106" s="22"/>
      <c r="N106" s="19"/>
      <c r="O106" s="24"/>
      <c r="P106" s="19"/>
      <c r="Q106" s="19"/>
      <c r="R106" s="25"/>
      <c r="S106" s="26" t="str">
        <f aca="false">IF(R106="","",(R106-D106)/D106)</f>
        <v/>
      </c>
      <c r="T106" s="24"/>
    </row>
    <row r="107" customFormat="false" ht="15" hidden="false" customHeight="false" outlineLevel="0" collapsed="false">
      <c r="A107" s="19"/>
      <c r="B107" s="20"/>
      <c r="C107" s="19"/>
      <c r="D107" s="21"/>
      <c r="E107" s="19"/>
      <c r="F107" s="22"/>
      <c r="G107" s="23"/>
      <c r="H107" s="19"/>
      <c r="I107" s="19"/>
      <c r="J107" s="19"/>
      <c r="K107" s="19"/>
      <c r="L107" s="19"/>
      <c r="M107" s="22"/>
      <c r="N107" s="19"/>
      <c r="O107" s="24"/>
      <c r="P107" s="19"/>
      <c r="Q107" s="19"/>
      <c r="R107" s="25"/>
      <c r="S107" s="26" t="str">
        <f aca="false">IF(R107="","",(R107-D107)/D107)</f>
        <v/>
      </c>
      <c r="T107" s="24"/>
    </row>
    <row r="108" customFormat="false" ht="15" hidden="false" customHeight="false" outlineLevel="0" collapsed="false">
      <c r="A108" s="19"/>
      <c r="B108" s="20"/>
      <c r="C108" s="19"/>
      <c r="D108" s="21"/>
      <c r="E108" s="19"/>
      <c r="F108" s="22"/>
      <c r="G108" s="23"/>
      <c r="H108" s="19"/>
      <c r="I108" s="19"/>
      <c r="J108" s="19"/>
      <c r="K108" s="19"/>
      <c r="L108" s="19"/>
      <c r="M108" s="22"/>
      <c r="N108" s="19"/>
      <c r="O108" s="24"/>
      <c r="P108" s="19"/>
      <c r="Q108" s="19"/>
      <c r="R108" s="25"/>
      <c r="S108" s="26" t="str">
        <f aca="false">IF(R108="","",(R108-D108)/D108)</f>
        <v/>
      </c>
      <c r="T108" s="24"/>
    </row>
    <row r="109" customFormat="false" ht="15" hidden="false" customHeight="false" outlineLevel="0" collapsed="false">
      <c r="A109" s="19"/>
      <c r="B109" s="20"/>
      <c r="C109" s="19"/>
      <c r="D109" s="21"/>
      <c r="E109" s="19"/>
      <c r="F109" s="22"/>
      <c r="G109" s="23"/>
      <c r="H109" s="19"/>
      <c r="I109" s="19"/>
      <c r="J109" s="19"/>
      <c r="K109" s="19"/>
      <c r="L109" s="19"/>
      <c r="M109" s="22"/>
      <c r="N109" s="19"/>
      <c r="O109" s="24"/>
      <c r="P109" s="19"/>
      <c r="Q109" s="19"/>
      <c r="R109" s="25"/>
      <c r="S109" s="26" t="str">
        <f aca="false">IF(R109="","",(R109-D109)/D109)</f>
        <v/>
      </c>
      <c r="T109" s="24"/>
    </row>
    <row r="110" customFormat="false" ht="15" hidden="false" customHeight="false" outlineLevel="0" collapsed="false">
      <c r="A110" s="19"/>
      <c r="B110" s="20"/>
      <c r="C110" s="19"/>
      <c r="D110" s="21"/>
      <c r="E110" s="19"/>
      <c r="F110" s="22"/>
      <c r="G110" s="23"/>
      <c r="H110" s="19"/>
      <c r="I110" s="19"/>
      <c r="J110" s="19"/>
      <c r="K110" s="19"/>
      <c r="L110" s="19"/>
      <c r="M110" s="22"/>
      <c r="N110" s="19"/>
      <c r="O110" s="24"/>
      <c r="P110" s="19"/>
      <c r="Q110" s="19"/>
      <c r="R110" s="25"/>
      <c r="S110" s="26" t="str">
        <f aca="false">IF(R110="","",(R110-D110)/D110)</f>
        <v/>
      </c>
      <c r="T110" s="24"/>
    </row>
    <row r="111" customFormat="false" ht="15" hidden="false" customHeight="false" outlineLevel="0" collapsed="false">
      <c r="A111" s="19"/>
      <c r="B111" s="20"/>
      <c r="C111" s="19"/>
      <c r="D111" s="21"/>
      <c r="E111" s="19"/>
      <c r="F111" s="22"/>
      <c r="G111" s="23"/>
      <c r="H111" s="19"/>
      <c r="I111" s="19"/>
      <c r="J111" s="19"/>
      <c r="K111" s="19"/>
      <c r="L111" s="19"/>
      <c r="M111" s="22"/>
      <c r="N111" s="19"/>
      <c r="O111" s="24"/>
      <c r="P111" s="19"/>
      <c r="Q111" s="19"/>
      <c r="R111" s="25"/>
      <c r="S111" s="26" t="str">
        <f aca="false">IF(R111="","",(R111-D111)/D111)</f>
        <v/>
      </c>
      <c r="T111" s="24"/>
    </row>
    <row r="112" customFormat="false" ht="15" hidden="false" customHeight="false" outlineLevel="0" collapsed="false">
      <c r="A112" s="19"/>
      <c r="B112" s="20"/>
      <c r="C112" s="19"/>
      <c r="D112" s="21"/>
      <c r="E112" s="19"/>
      <c r="F112" s="22"/>
      <c r="G112" s="23"/>
      <c r="H112" s="19"/>
      <c r="I112" s="19"/>
      <c r="J112" s="19"/>
      <c r="K112" s="19"/>
      <c r="L112" s="19"/>
      <c r="M112" s="22"/>
      <c r="N112" s="19"/>
      <c r="O112" s="24"/>
      <c r="P112" s="19"/>
      <c r="Q112" s="19"/>
      <c r="R112" s="25"/>
      <c r="S112" s="26" t="str">
        <f aca="false">IF(R112="","",(R112-D112)/D112)</f>
        <v/>
      </c>
      <c r="T112" s="24"/>
    </row>
    <row r="113" customFormat="false" ht="15" hidden="false" customHeight="false" outlineLevel="0" collapsed="false">
      <c r="A113" s="19"/>
      <c r="B113" s="20"/>
      <c r="C113" s="19"/>
      <c r="D113" s="21"/>
      <c r="E113" s="19"/>
      <c r="F113" s="22"/>
      <c r="G113" s="23"/>
      <c r="H113" s="19"/>
      <c r="I113" s="19"/>
      <c r="J113" s="19"/>
      <c r="K113" s="19"/>
      <c r="L113" s="19"/>
      <c r="M113" s="22"/>
      <c r="N113" s="19"/>
      <c r="O113" s="24"/>
      <c r="P113" s="19"/>
      <c r="Q113" s="19"/>
      <c r="R113" s="25"/>
      <c r="S113" s="26" t="str">
        <f aca="false">IF(R113="","",(R113-D113)/D113)</f>
        <v/>
      </c>
      <c r="T113" s="24"/>
    </row>
    <row r="114" customFormat="false" ht="15" hidden="false" customHeight="false" outlineLevel="0" collapsed="false">
      <c r="A114" s="19"/>
      <c r="B114" s="20"/>
      <c r="C114" s="19"/>
      <c r="D114" s="21"/>
      <c r="E114" s="19"/>
      <c r="F114" s="22"/>
      <c r="G114" s="23"/>
      <c r="H114" s="19"/>
      <c r="I114" s="19"/>
      <c r="J114" s="19"/>
      <c r="K114" s="19"/>
      <c r="L114" s="19"/>
      <c r="M114" s="22"/>
      <c r="N114" s="19"/>
      <c r="O114" s="24"/>
      <c r="P114" s="19"/>
      <c r="Q114" s="19"/>
      <c r="R114" s="25"/>
      <c r="S114" s="26" t="str">
        <f aca="false">IF(R114="","",(R114-D114)/D114)</f>
        <v/>
      </c>
      <c r="T114" s="24"/>
    </row>
    <row r="115" customFormat="false" ht="15" hidden="false" customHeight="false" outlineLevel="0" collapsed="false">
      <c r="A115" s="19"/>
      <c r="B115" s="20"/>
      <c r="C115" s="19"/>
      <c r="D115" s="21"/>
      <c r="E115" s="19"/>
      <c r="F115" s="22"/>
      <c r="G115" s="23"/>
      <c r="H115" s="19"/>
      <c r="I115" s="19"/>
      <c r="J115" s="19"/>
      <c r="K115" s="19"/>
      <c r="L115" s="19"/>
      <c r="M115" s="22"/>
      <c r="N115" s="19"/>
      <c r="O115" s="24"/>
      <c r="P115" s="19"/>
      <c r="Q115" s="19"/>
      <c r="R115" s="25"/>
      <c r="S115" s="26" t="str">
        <f aca="false">IF(R115="","",(R115-D115)/D115)</f>
        <v/>
      </c>
      <c r="T115" s="24"/>
    </row>
    <row r="116" customFormat="false" ht="15" hidden="false" customHeight="false" outlineLevel="0" collapsed="false">
      <c r="A116" s="19"/>
      <c r="B116" s="20"/>
      <c r="C116" s="19"/>
      <c r="D116" s="21"/>
      <c r="E116" s="19"/>
      <c r="F116" s="22"/>
      <c r="G116" s="23"/>
      <c r="H116" s="19"/>
      <c r="I116" s="19"/>
      <c r="J116" s="19"/>
      <c r="K116" s="19"/>
      <c r="L116" s="19"/>
      <c r="M116" s="22"/>
      <c r="N116" s="19"/>
      <c r="O116" s="24"/>
      <c r="P116" s="19"/>
      <c r="Q116" s="19"/>
      <c r="R116" s="25"/>
      <c r="S116" s="26" t="str">
        <f aca="false">IF(R116="","",(R116-D116)/D116)</f>
        <v/>
      </c>
      <c r="T116" s="24"/>
    </row>
    <row r="117" customFormat="false" ht="15" hidden="false" customHeight="false" outlineLevel="0" collapsed="false">
      <c r="A117" s="19"/>
      <c r="B117" s="20"/>
      <c r="C117" s="19"/>
      <c r="D117" s="21"/>
      <c r="E117" s="19"/>
      <c r="F117" s="22"/>
      <c r="G117" s="23"/>
      <c r="H117" s="19"/>
      <c r="I117" s="19"/>
      <c r="J117" s="19"/>
      <c r="K117" s="19"/>
      <c r="L117" s="19"/>
      <c r="M117" s="22"/>
      <c r="N117" s="19"/>
      <c r="O117" s="24"/>
      <c r="P117" s="19"/>
      <c r="Q117" s="19"/>
      <c r="R117" s="25"/>
      <c r="S117" s="26" t="str">
        <f aca="false">IF(R117="","",(R117-D117)/D117)</f>
        <v/>
      </c>
      <c r="T117" s="24"/>
    </row>
    <row r="118" customFormat="false" ht="15" hidden="false" customHeight="false" outlineLevel="0" collapsed="false">
      <c r="A118" s="19"/>
      <c r="B118" s="20"/>
      <c r="C118" s="19"/>
      <c r="D118" s="21"/>
      <c r="E118" s="19"/>
      <c r="F118" s="22"/>
      <c r="G118" s="23"/>
      <c r="H118" s="19"/>
      <c r="I118" s="19"/>
      <c r="J118" s="19"/>
      <c r="K118" s="19"/>
      <c r="L118" s="19"/>
      <c r="M118" s="22"/>
      <c r="N118" s="19"/>
      <c r="O118" s="24"/>
      <c r="P118" s="19"/>
      <c r="Q118" s="19"/>
      <c r="R118" s="25"/>
      <c r="S118" s="26" t="str">
        <f aca="false">IF(R118="","",(R118-D118)/D118)</f>
        <v/>
      </c>
      <c r="T118" s="24"/>
    </row>
    <row r="119" customFormat="false" ht="15" hidden="false" customHeight="false" outlineLevel="0" collapsed="false">
      <c r="A119" s="19"/>
      <c r="B119" s="20"/>
      <c r="C119" s="19"/>
      <c r="D119" s="21"/>
      <c r="E119" s="19"/>
      <c r="F119" s="22"/>
      <c r="G119" s="23"/>
      <c r="H119" s="19"/>
      <c r="I119" s="19"/>
      <c r="J119" s="19"/>
      <c r="K119" s="19"/>
      <c r="L119" s="19"/>
      <c r="M119" s="22"/>
      <c r="N119" s="19"/>
      <c r="O119" s="24"/>
      <c r="P119" s="19"/>
      <c r="Q119" s="19"/>
      <c r="R119" s="25"/>
      <c r="S119" s="26" t="str">
        <f aca="false">IF(R119="","",(R119-D119)/D119)</f>
        <v/>
      </c>
      <c r="T119" s="24"/>
    </row>
    <row r="120" customFormat="false" ht="15" hidden="false" customHeight="false" outlineLevel="0" collapsed="false">
      <c r="A120" s="19"/>
      <c r="B120" s="20"/>
      <c r="C120" s="19"/>
      <c r="D120" s="21"/>
      <c r="E120" s="19"/>
      <c r="F120" s="22"/>
      <c r="G120" s="23"/>
      <c r="H120" s="19"/>
      <c r="I120" s="19"/>
      <c r="J120" s="19"/>
      <c r="K120" s="19"/>
      <c r="L120" s="19"/>
      <c r="M120" s="22"/>
      <c r="N120" s="19"/>
      <c r="O120" s="24"/>
      <c r="P120" s="19"/>
      <c r="Q120" s="19"/>
      <c r="R120" s="25"/>
      <c r="S120" s="26" t="str">
        <f aca="false">IF(R120="","",(R120-D120)/D120)</f>
        <v/>
      </c>
      <c r="T120" s="24"/>
    </row>
    <row r="121" customFormat="false" ht="15" hidden="false" customHeight="false" outlineLevel="0" collapsed="false">
      <c r="A121" s="19"/>
      <c r="B121" s="20"/>
      <c r="C121" s="19"/>
      <c r="D121" s="21"/>
      <c r="E121" s="19"/>
      <c r="F121" s="22"/>
      <c r="G121" s="23"/>
      <c r="H121" s="19"/>
      <c r="I121" s="19"/>
      <c r="J121" s="19"/>
      <c r="K121" s="19"/>
      <c r="L121" s="19"/>
      <c r="M121" s="22"/>
      <c r="N121" s="19"/>
      <c r="O121" s="24"/>
      <c r="P121" s="19"/>
      <c r="Q121" s="19"/>
      <c r="R121" s="25"/>
      <c r="S121" s="26" t="str">
        <f aca="false">IF(R121="","",(R121-D121)/D121)</f>
        <v/>
      </c>
      <c r="T121" s="24"/>
    </row>
    <row r="122" customFormat="false" ht="15" hidden="false" customHeight="false" outlineLevel="0" collapsed="false">
      <c r="A122" s="19"/>
      <c r="B122" s="20"/>
      <c r="C122" s="19"/>
      <c r="D122" s="21"/>
      <c r="E122" s="19"/>
      <c r="F122" s="22"/>
      <c r="G122" s="23"/>
      <c r="H122" s="19"/>
      <c r="I122" s="19"/>
      <c r="J122" s="19"/>
      <c r="K122" s="19"/>
      <c r="L122" s="19"/>
      <c r="M122" s="22"/>
      <c r="N122" s="19"/>
      <c r="O122" s="24"/>
      <c r="P122" s="19"/>
      <c r="Q122" s="19"/>
      <c r="R122" s="25"/>
      <c r="S122" s="26" t="str">
        <f aca="false">IF(R122="","",(R122-D122)/D122)</f>
        <v/>
      </c>
      <c r="T122" s="24"/>
    </row>
  </sheetData>
  <mergeCells count="1">
    <mergeCell ref="A1:T1"/>
  </mergeCells>
  <dataValidations count="9">
    <dataValidation allowBlank="true" errorStyle="stop" operator="between" showDropDown="false" showErrorMessage="false" showInputMessage="false" sqref="H3:H122" type="list">
      <formula1>"A+,A,A-,B+,B,B-,C+,C,C-,D,F"</formula1>
      <formula2>0</formula2>
    </dataValidation>
    <dataValidation allowBlank="true" errorStyle="stop" operator="between" showDropDown="false" showErrorMessage="false" showInputMessage="false" sqref="I3:I122" type="list">
      <formula1>"A+,A,A-,B+,B,B-,C+,C,C-,D,F"</formula1>
      <formula2>0</formula2>
    </dataValidation>
    <dataValidation allowBlank="true" errorStyle="stop" operator="between" showDropDown="false" showErrorMessage="false" showInputMessage="false" sqref="J3:J122" type="list">
      <formula1>"A+,A,A-,B+,B,B-,C+,C,C-,D,F"</formula1>
      <formula2>0</formula2>
    </dataValidation>
    <dataValidation allowBlank="true" errorStyle="stop" operator="between" showDropDown="false" showErrorMessage="false" showInputMessage="false" sqref="K3:K122" type="list">
      <formula1>"A+,A,A-,B+,B,B-,C+,C,C-,D,F"</formula1>
      <formula2>0</formula2>
    </dataValidation>
    <dataValidation allowBlank="true" errorStyle="stop" operator="between" showDropDown="false" showErrorMessage="false" showInputMessage="false" sqref="L3:L122" type="list">
      <formula1>"Pre-FOMO,Heating Up,Late FOMO,Post-FOMO Fade,Post-peak washout"</formula1>
      <formula2>0</formula2>
    </dataValidation>
    <dataValidation allowBlank="true" errorStyle="stop" operator="between" showDropDown="false" showErrorMessage="false" showInputMessage="false" sqref="M3:M122" type="list">
      <formula1>"1,2,3,4,5"</formula1>
      <formula2>0</formula2>
    </dataValidation>
    <dataValidation allowBlank="true" errorStyle="stop" operator="between" showDropDown="false" showErrorMessage="false" showInputMessage="false" sqref="N3:N122" type="list">
      <formula1>"Accumulate,Hold-quality — wait for value,Trade-only — not a hold"</formula1>
      <formula2>0</formula2>
    </dataValidation>
    <dataValidation allowBlank="true" errorStyle="stop" operator="between" showDropDown="false" showErrorMessage="false" showInputMessage="false" sqref="P3:P122" type="list">
      <formula1>"claude,gpt-runner,manual"</formula1>
      <formula2>0</formula2>
    </dataValidation>
    <dataValidation allowBlank="true" errorStyle="stop" operator="between" showDropDown="false" showErrorMessage="false" showInputMessage="false" sqref="Q3:Q122" type="list">
      <formula1>"Win,Loss,Open,Scratch"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110</v>
      </c>
      <c r="B1" s="1"/>
      <c r="C1" s="1"/>
    </row>
    <row r="3" customFormat="false" ht="15" hidden="false" customHeight="false" outlineLevel="0" collapsed="false">
      <c r="A3" s="27" t="s">
        <v>111</v>
      </c>
      <c r="B3" s="27"/>
      <c r="C3" s="27"/>
    </row>
    <row r="4" customFormat="false" ht="15" hidden="false" customHeight="false" outlineLevel="0" collapsed="false">
      <c r="A4" s="28" t="s">
        <v>112</v>
      </c>
      <c r="B4" s="28"/>
      <c r="C4" s="29" t="n">
        <f aca="false">COUNTA('Bench Archive'!$A$3:$A$122)</f>
        <v>22</v>
      </c>
    </row>
    <row r="5" customFormat="false" ht="15" hidden="false" customHeight="false" outlineLevel="0" collapsed="false">
      <c r="A5" s="28" t="s">
        <v>113</v>
      </c>
      <c r="B5" s="28"/>
      <c r="C5" s="29" t="n">
        <f aca="false">SUMPRODUCT(--ISNUMBER(MATCH('Bench Archive'!$K$3:$K$122,{"A+","A","A-","B+","B","B-"},0)))</f>
        <v>2</v>
      </c>
    </row>
    <row r="6" customFormat="false" ht="15" hidden="false" customHeight="false" outlineLevel="0" collapsed="false">
      <c r="A6" s="28" t="s">
        <v>114</v>
      </c>
      <c r="B6" s="28"/>
      <c r="C6" s="29" t="n">
        <f aca="false">SUMPRODUCT(--ISNUMBER(MATCH('Bench Archive'!$K$3:$K$122,{"C+","C","C-","D","F"},0)))</f>
        <v>20</v>
      </c>
    </row>
    <row r="7" customFormat="false" ht="15" hidden="false" customHeight="false" outlineLevel="0" collapsed="false">
      <c r="A7" s="28" t="s">
        <v>115</v>
      </c>
      <c r="B7" s="28"/>
      <c r="C7" s="30" t="n">
        <f aca="false">IFERROR(AVERAGE('Bench Archive'!$F$3:$F$122),"—")</f>
        <v>48.6363636363636</v>
      </c>
    </row>
    <row r="9" customFormat="false" ht="15" hidden="false" customHeight="false" outlineLevel="0" collapsed="false">
      <c r="A9" s="27" t="s">
        <v>116</v>
      </c>
      <c r="B9" s="27"/>
      <c r="C9" s="27"/>
    </row>
    <row r="10" customFormat="false" ht="15" hidden="false" customHeight="false" outlineLevel="0" collapsed="false">
      <c r="A10" s="28" t="s">
        <v>117</v>
      </c>
      <c r="B10" s="28"/>
      <c r="C10" s="29" t="n">
        <f aca="false">COUNTIF('Bench Archive'!$Q$3:$Q$122,"Win")</f>
        <v>0</v>
      </c>
    </row>
    <row r="11" customFormat="false" ht="15" hidden="false" customHeight="false" outlineLevel="0" collapsed="false">
      <c r="A11" s="28" t="s">
        <v>118</v>
      </c>
      <c r="B11" s="28"/>
      <c r="C11" s="29" t="n">
        <f aca="false">COUNTIF('Bench Archive'!$Q$3:$Q$122,"Loss")</f>
        <v>1</v>
      </c>
    </row>
    <row r="12" customFormat="false" ht="15" hidden="false" customHeight="false" outlineLevel="0" collapsed="false">
      <c r="A12" s="28" t="s">
        <v>119</v>
      </c>
      <c r="B12" s="28"/>
      <c r="C12" s="29" t="n">
        <f aca="false">COUNTA('Bench Archive'!$A$3:$A$122)-COUNTIF('Bench Archive'!$Q$3:$Q$122,"Win")-COUNTIF('Bench Archive'!$Q$3:$Q$122,"Loss")-COUNTIF('Bench Archive'!$Q$3:$Q$122,"Scratch")</f>
        <v>21</v>
      </c>
    </row>
    <row r="13" customFormat="false" ht="15" hidden="false" customHeight="false" outlineLevel="0" collapsed="false">
      <c r="A13" s="28" t="s">
        <v>120</v>
      </c>
      <c r="B13" s="28"/>
      <c r="C13" s="31" t="n">
        <f aca="false">IFERROR(COUNTIF('Bench Archive'!$Q$3:$Q$122,"Win")/(COUNTIF('Bench Archive'!$Q$3:$Q$122,"Win")+COUNTIF('Bench Archive'!$Q$3:$Q$122,"Loss")),"—")</f>
        <v>0</v>
      </c>
    </row>
    <row r="14" customFormat="false" ht="15" hidden="false" customHeight="false" outlineLevel="0" collapsed="false">
      <c r="A14" s="28" t="s">
        <v>121</v>
      </c>
      <c r="B14" s="28"/>
      <c r="C14" s="31" t="str">
        <f aca="false">IFERROR(AVERAGEIFS('Bench Archive'!$S$3:$S$122,'Bench Archive'!$Q$3:$Q$122,"Win"),"—")</f>
        <v>—</v>
      </c>
    </row>
    <row r="15" customFormat="false" ht="15" hidden="false" customHeight="false" outlineLevel="0" collapsed="false">
      <c r="A15" s="28" t="s">
        <v>122</v>
      </c>
      <c r="B15" s="28"/>
      <c r="C15" s="31" t="n">
        <f aca="false">IFERROR(AVERAGEIFS('Bench Archive'!$S$3:$S$122,'Bench Archive'!$Q$3:$Q$122,"Loss"),"—")</f>
        <v>-0.11304347826087</v>
      </c>
    </row>
    <row r="17" customFormat="false" ht="15" hidden="false" customHeight="false" outlineLevel="0" collapsed="false">
      <c r="A17" s="27" t="s">
        <v>123</v>
      </c>
      <c r="B17" s="27"/>
      <c r="C17" s="27"/>
    </row>
    <row r="18" customFormat="false" ht="15" hidden="false" customHeight="false" outlineLevel="0" collapsed="false">
      <c r="A18" s="28" t="s">
        <v>124</v>
      </c>
      <c r="B18" s="28"/>
      <c r="C18" s="31" t="str">
        <f aca="false">IFERROR(COUNTIFS('Bench Archive'!$G$3:$G$122,"&gt;=85",'Bench Archive'!$Q$3:$Q$122,"Win")/(COUNTIFS('Bench Archive'!$G$3:$G$122,"&gt;=85",'Bench Archive'!$Q$3:$Q$122,"Win")+COUNTIFS('Bench Archive'!$G$3:$G$122,"&gt;=85",'Bench Archive'!$Q$3:$Q$122,"Loss")),"—")</f>
        <v>—</v>
      </c>
    </row>
    <row r="19" customFormat="false" ht="15" hidden="false" customHeight="false" outlineLevel="0" collapsed="false">
      <c r="A19" s="28" t="s">
        <v>125</v>
      </c>
      <c r="B19" s="28"/>
      <c r="C19" s="31" t="n">
        <f aca="false">IFERROR(COUNTIFS('Bench Archive'!$G$3:$G$122,"&gt;=70",'Bench Archive'!$G$3:$G$122,"&lt;85",'Bench Archive'!$Q$3:$Q$122,"Win")/(COUNTIFS('Bench Archive'!$G$3:$G$122,"&gt;=70",'Bench Archive'!$G$3:$G$122,"&lt;85",'Bench Archive'!$Q$3:$Q$122,"Win")+COUNTIFS('Bench Archive'!$G$3:$G$122,"&gt;=70",'Bench Archive'!$G$3:$G$122,"&lt;85",'Bench Archive'!$Q$3:$Q$122,"Loss")),"—")</f>
        <v>0</v>
      </c>
    </row>
    <row r="20" customFormat="false" ht="15" hidden="false" customHeight="false" outlineLevel="0" collapsed="false">
      <c r="A20" s="28" t="s">
        <v>126</v>
      </c>
      <c r="B20" s="28"/>
      <c r="C20" s="31" t="str">
        <f aca="false">IFERROR(COUNTIFS('Bench Archive'!$G$3:$G$122,"&lt;70",'Bench Archive'!$G$3:$G$122,"&gt;0",'Bench Archive'!$Q$3:$Q$122,"Win")/(COUNTIFS('Bench Archive'!$G$3:$G$122,"&lt;70",'Bench Archive'!$G$3:$G$122,"&gt;0",'Bench Archive'!$Q$3:$Q$122,"Win")+COUNTIFS('Bench Archive'!$G$3:$G$122,"&lt;70",'Bench Archive'!$G$3:$G$122,"&gt;0",'Bench Archive'!$Q$3:$Q$122,"Loss")),"—")</f>
        <v>—</v>
      </c>
    </row>
    <row r="22" customFormat="false" ht="15" hidden="false" customHeight="false" outlineLevel="0" collapsed="false">
      <c r="A22" s="27" t="s">
        <v>127</v>
      </c>
      <c r="B22" s="27"/>
      <c r="C22" s="27"/>
    </row>
    <row r="23" customFormat="false" ht="15" hidden="false" customHeight="false" outlineLevel="0" collapsed="false">
      <c r="A23" s="28" t="s">
        <v>29</v>
      </c>
      <c r="B23" s="28"/>
      <c r="C23" s="29" t="n">
        <f aca="false">COUNTIF('Bench Archive'!$P$3:$P$122,"claude")</f>
        <v>22</v>
      </c>
    </row>
    <row r="24" customFormat="false" ht="15" hidden="false" customHeight="false" outlineLevel="0" collapsed="false">
      <c r="A24" s="28" t="s">
        <v>128</v>
      </c>
      <c r="B24" s="28"/>
      <c r="C24" s="29" t="n">
        <f aca="false">COUNTIF('Bench Archive'!$P$3:$P$122,"gpt-runner")</f>
        <v>0</v>
      </c>
    </row>
    <row r="25" customFormat="false" ht="15" hidden="false" customHeight="false" outlineLevel="0" collapsed="false">
      <c r="A25" s="28" t="s">
        <v>129</v>
      </c>
      <c r="B25" s="28"/>
      <c r="C25" s="29" t="n">
        <f aca="false">COUNTIF('Bench Archive'!$P$3:$P$122,"manual")</f>
        <v>0</v>
      </c>
    </row>
    <row r="27" customFormat="false" ht="15" hidden="false" customHeight="false" outlineLevel="0" collapsed="false">
      <c r="A27" s="27" t="s">
        <v>130</v>
      </c>
      <c r="B27" s="27"/>
      <c r="C27" s="27"/>
    </row>
    <row r="28" customFormat="false" ht="15" hidden="false" customHeight="false" outlineLevel="0" collapsed="false">
      <c r="A28" s="28" t="s">
        <v>27</v>
      </c>
      <c r="B28" s="28"/>
      <c r="C28" s="29" t="n">
        <f aca="false">COUNTIF('Bench Archive'!$N$3:$N$122,"Accumulate")</f>
        <v>5</v>
      </c>
    </row>
    <row r="29" customFormat="false" ht="15" hidden="false" customHeight="false" outlineLevel="0" collapsed="false">
      <c r="A29" s="28" t="s">
        <v>131</v>
      </c>
      <c r="B29" s="28"/>
      <c r="C29" s="29" t="n">
        <f aca="false">COUNTIF('Bench Archive'!$N$3:$N$122,"Hold-quality*")</f>
        <v>8</v>
      </c>
    </row>
    <row r="30" customFormat="false" ht="15" hidden="false" customHeight="false" outlineLevel="0" collapsed="false">
      <c r="A30" s="28" t="s">
        <v>132</v>
      </c>
      <c r="B30" s="28"/>
      <c r="C30" s="29" t="n">
        <f aca="false">COUNTIF('Bench Archive'!$N$3:$N$122,"Trade-only*")</f>
        <v>9</v>
      </c>
    </row>
  </sheetData>
  <mergeCells count="25">
    <mergeCell ref="A1:C1"/>
    <mergeCell ref="A3:C3"/>
    <mergeCell ref="A4:B4"/>
    <mergeCell ref="A5:B5"/>
    <mergeCell ref="A6:B6"/>
    <mergeCell ref="A7:B7"/>
    <mergeCell ref="A9:C9"/>
    <mergeCell ref="A10:B10"/>
    <mergeCell ref="A11:B11"/>
    <mergeCell ref="A12:B12"/>
    <mergeCell ref="A13:B13"/>
    <mergeCell ref="A14:B14"/>
    <mergeCell ref="A15:B15"/>
    <mergeCell ref="A17:C17"/>
    <mergeCell ref="A18:B18"/>
    <mergeCell ref="A19:B19"/>
    <mergeCell ref="A20:B20"/>
    <mergeCell ref="A22:C22"/>
    <mergeCell ref="A23:B23"/>
    <mergeCell ref="A24:B24"/>
    <mergeCell ref="A25:B25"/>
    <mergeCell ref="A27:C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2026-07-22T16:07:55Z</dcterms:created>
  <dc:creator>openpyxl</dc:creator>
  <dc:description/>
  <dc:language>en-US</dc:language>
  <cp:lastModifiedBy/>
  <dcterms:modified xsi:type="dcterms:W3CDTF">2026-07-22T16:07:55Z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